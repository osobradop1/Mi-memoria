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dora Nómina 2026" state="visible" r:id="rId4"/>
  </sheets>
  <calcPr calcId="171027"/>
</workbook>
</file>

<file path=xl/sharedStrings.xml><?xml version="1.0" encoding="utf-8"?>
<sst xmlns="http://schemas.openxmlformats.org/spreadsheetml/2006/main" count="620" uniqueCount="95">
  <si>
    <t>💰  CALCULADORA NÓMINA 2026</t>
  </si>
  <si>
    <t>✅  Fórmula CORRECTA: NETO = Bruto Sujeto × (1 − SS% − IRPF%) + Exentos   |   ❌ Corrige el error multiplicativo del cálculo original (~20€/mes)</t>
  </si>
  <si>
    <t>⚙️   CONFIGURACIÓN — Edita las celdas amarillas</t>
  </si>
  <si>
    <t/>
  </si>
  <si>
    <t>Parámetro</t>
  </si>
  <si>
    <t>Valor</t>
  </si>
  <si>
    <t>Salario bruto mensual</t>
  </si>
  <si>
    <t>← salario base mensual</t>
  </si>
  <si>
    <t>Bruto por día (días fuera)</t>
  </si>
  <si>
    <t>SEGURIDAD SOCIAL — Desglose (% sobre bruto sujeto)</t>
  </si>
  <si>
    <t xml:space="preserve">  CC (Contingencias Comunes)</t>
  </si>
  <si>
    <t xml:space="preserve">  Desempleo</t>
  </si>
  <si>
    <t xml:space="preserve">  FP (Formación Profesional)</t>
  </si>
  <si>
    <t xml:space="preserve">  MEI</t>
  </si>
  <si>
    <t xml:space="preserve">  Otros</t>
  </si>
  <si>
    <t xml:space="preserve">  TOTAL SS trabajador</t>
  </si>
  <si>
    <t>IRPF por defecto (% — editable por mes)</t>
  </si>
  <si>
    <t>← Enero usa 18.11% ajustado — cambia por mes abajo</t>
  </si>
  <si>
    <t>PRECIOS UNITARIOS DE VARIABLES</t>
  </si>
  <si>
    <t>Concepto</t>
  </si>
  <si>
    <t>Precio (€)</t>
  </si>
  <si>
    <t>Tipo</t>
  </si>
  <si>
    <t xml:space="preserve">  Turnicidad</t>
  </si>
  <si>
    <t>SUJETO</t>
  </si>
  <si>
    <t xml:space="preserve">  Nocturnidad</t>
  </si>
  <si>
    <t xml:space="preserve">  Plus frío</t>
  </si>
  <si>
    <t xml:space="preserve">  H. Disponibilidad</t>
  </si>
  <si>
    <t xml:space="preserve">  H. Disp. Festiva</t>
  </si>
  <si>
    <t xml:space="preserve">  H. Desplazamiento</t>
  </si>
  <si>
    <t xml:space="preserve">  H. Desp. Festivo</t>
  </si>
  <si>
    <t xml:space="preserve">  H. Extra</t>
  </si>
  <si>
    <t xml:space="preserve">  H. Extra Festiva</t>
  </si>
  <si>
    <t xml:space="preserve">  Días fuera (= bruto/día)</t>
  </si>
  <si>
    <t xml:space="preserve">  KM</t>
  </si>
  <si>
    <t>EXENTO</t>
  </si>
  <si>
    <t xml:space="preserve">  Dieta (importe directo)</t>
  </si>
  <si>
    <t>directo</t>
  </si>
  <si>
    <t xml:space="preserve">  Tiquets (importe directo)</t>
  </si>
  <si>
    <t>⚠️  ERROR CORREGIDO: La fórmula original calculaba  bruto × (1−IRPF) × (1−SS)  lo que genera ~20€ de más por interacción multiplicativa. La fórmula correcta es ADITIVA:  NETO = Bruto_Sujeto − (Bruto_Sujeto × SS%) − (Bruto_Sujeto × IRPF%) + Exentos</t>
  </si>
  <si>
    <t>ENERO 2026</t>
  </si>
  <si>
    <t>Días: 31</t>
  </si>
  <si>
    <t>CONCEPTO</t>
  </si>
  <si>
    <t>CANTIDAD</t>
  </si>
  <si>
    <t>€/UNIDAD</t>
  </si>
  <si>
    <t>TOTAL €</t>
  </si>
  <si>
    <t>TIPO</t>
  </si>
  <si>
    <t>Salario base</t>
  </si>
  <si>
    <t xml:space="preserve">  H. Disponibilidad Fest.</t>
  </si>
  <si>
    <t xml:space="preserve">  H. Desplazamiento Fest.</t>
  </si>
  <si>
    <t xml:space="preserve">  Días fuera</t>
  </si>
  <si>
    <t>── EXENTOS (no cotizan ni retienen) ──────────────────────────────────</t>
  </si>
  <si>
    <t>(directo)</t>
  </si>
  <si>
    <t xml:space="preserve">  KM (km × 0,30€)</t>
  </si>
  <si>
    <t>BRUTO SUJETO</t>
  </si>
  <si>
    <t>EXENTOS</t>
  </si>
  <si>
    <t>(-) SS 7.55%   [C10+C11+…]</t>
  </si>
  <si>
    <t>(-) IRPF 18.11%  [editable col F fila cabecera]</t>
  </si>
  <si>
    <t>💳  NETO A COBRAR</t>
  </si>
  <si>
    <t>✓ CORRECTO</t>
  </si>
  <si>
    <t>FEBRERO 2026</t>
  </si>
  <si>
    <t>Días: 28</t>
  </si>
  <si>
    <t>(-) IRPF 18%  [editable col F fila cabecera]</t>
  </si>
  <si>
    <t>MARZO 2026</t>
  </si>
  <si>
    <t>ABRIL 2026</t>
  </si>
  <si>
    <t>Días: 30</t>
  </si>
  <si>
    <t>MAYO 2026</t>
  </si>
  <si>
    <t>JUNIO 2026</t>
  </si>
  <si>
    <t>JULIO 2026</t>
  </si>
  <si>
    <t>AGOSTO 2026</t>
  </si>
  <si>
    <t>SEPTIEMBRE 2026</t>
  </si>
  <si>
    <t>OCTUBRE 2026</t>
  </si>
  <si>
    <t>NOVIEMBRE 2026</t>
  </si>
  <si>
    <t>DICIEMBRE 2026</t>
  </si>
  <si>
    <t>📅  RESUMEN ANUAL 2026</t>
  </si>
  <si>
    <t>MES</t>
  </si>
  <si>
    <t>Bruto Sujeto</t>
  </si>
  <si>
    <t>SS (−)</t>
  </si>
  <si>
    <t>IRPF (−)</t>
  </si>
  <si>
    <t>Exentos (+)</t>
  </si>
  <si>
    <t>NETO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</si>
  <si>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</si>
  <si>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</si>
  <si>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</si>
  <si>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</si>
  <si>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</si>
  <si>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</si>
  <si>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</si>
  <si>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</si>
  <si>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</si>
  <si>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</si>
  <si>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</si>
  <si>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</si>
  <si>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 ANUALES</t>
  </si>
  <si>
    <t>💳  NETO ANUAL TOTAL 2026</t>
  </si>
  <si>
    <t>⚠️  Celdas amarillas = editables | IRPF editable por mes (columna F de cada cabecera de mes) | SS% editable en CONFIG | Precios unitarios editables en CONFIG | Fórmula NETO corregida: aditiva, no multiplicativa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</si>
</sst>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2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78350F"/>
      <sz val="9"/>
      <name val="Calibri"/>
    </font>
    <font>
      <b/>
      <color rgb="FFFFFF"/>
      <sz val="12"/>
      <name val="Calibri"/>
    </font>
    <font>
      <b/>
      <color rgb="64748B"/>
      <sz val="9"/>
      <name val="Calibri"/>
    </font>
    <font>
      <b/>
      <color rgb="0F172A"/>
      <sz val="10"/>
      <name val="Calibri"/>
    </font>
    <font>
      <b/>
      <color rgb="4338CA"/>
      <sz val="10"/>
      <name val="Calibri"/>
    </font>
    <font>
      <i/>
      <color rgb="64748B"/>
      <sz val="9"/>
      <name val="Calibri"/>
    </font>
    <font>
      <color rgb="0F172A"/>
      <sz val="10"/>
      <name val="Calibri"/>
    </font>
    <font>
      <b/>
      <color rgb="FFFFFF"/>
      <sz val="9"/>
      <name val="Calibri"/>
    </font>
    <font>
      <b/>
      <color rgb="B91C1C"/>
      <sz val="9"/>
      <name val="Calibri"/>
    </font>
    <font>
      <b/>
      <color rgb="065F46"/>
      <sz val="9"/>
      <name val="Calibri"/>
    </font>
    <font>
      <i/>
      <color rgb="64748B"/>
      <sz val="10"/>
      <name val="Calibri"/>
    </font>
    <font>
      <color rgb="FFFFFF"/>
      <sz val="10"/>
      <name val="Calibri"/>
    </font>
    <font>
      <b/>
      <color rgb="64748B"/>
      <sz val="10"/>
      <name val="Calibri"/>
    </font>
    <font>
      <b/>
      <i/>
      <color rgb="065F46"/>
      <sz val="9"/>
      <name val="Calibri"/>
    </font>
    <font>
      <b/>
      <color rgb="065F46"/>
      <sz val="10"/>
      <name val="Calibri"/>
    </font>
    <font>
      <b/>
      <color rgb="DC2626"/>
      <sz val="10"/>
      <name val="Calibri"/>
    </font>
    <font>
      <b/>
      <color rgb="FFFFFF"/>
      <sz val="13"/>
      <name val="Calibri"/>
    </font>
    <font>
      <b/>
      <color rgb="D1FAE5"/>
      <sz val="8"/>
      <name val="Calibri"/>
    </font>
    <font>
      <b/>
      <color rgb="FFFFFF"/>
      <sz val="10"/>
      <name val="Calibri"/>
    </font>
    <font>
      <b/>
      <color rgb="059669"/>
      <sz val="11"/>
      <name val="Calibri"/>
    </font>
    <font>
      <b/>
      <color rgb="FFFFFF"/>
      <sz val="11"/>
      <name val="Calibri"/>
    </font>
    <font>
      <b/>
      <color rgb="FFFFFF"/>
      <sz val="14"/>
      <name val="Calibri"/>
    </font>
    <font>
      <b/>
      <color rgb="FFFFFF"/>
      <sz val="16"/>
      <name val="Calibri"/>
    </font>
  </fonts>
  <fills count="12">
    <fill>
      <patternFill patternType="none"/>
    </fill>
    <fill>
      <patternFill patternType="gray125"/>
    </fill>
    <fill>
      <patternFill patternType="solid">
        <fgColor rgb="4338CA"/>
      </patternFill>
    </fill>
    <fill>
      <patternFill patternType="solid">
        <fgColor rgb="FFFBEB"/>
      </patternFill>
    </fill>
    <fill>
      <patternFill patternType="solid">
        <fgColor rgb="F8FAFC"/>
      </patternFill>
    </fill>
    <fill>
      <patternFill patternType="solid">
        <fgColor rgb="EDE9FE"/>
      </patternFill>
    </fill>
    <fill>
      <patternFill patternType="solid">
        <fgColor rgb="6366F1"/>
      </patternFill>
    </fill>
    <fill>
      <patternFill patternType="solid">
        <fgColor rgb="D1FAE5"/>
      </patternFill>
    </fill>
    <fill>
      <patternFill patternType="solid">
        <fgColor rgb="E2E8F0"/>
      </patternFill>
    </fill>
    <fill>
      <patternFill patternType="solid">
        <fgColor rgb="FEE2E2"/>
      </patternFill>
    </fill>
    <fill>
      <patternFill patternType="solid">
        <fgColor rgb="059669"/>
      </patternFill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left style="thin">
        <color rgb="F59E0B"/>
      </left>
      <right style="thin">
        <color rgb="F59E0B"/>
      </right>
      <top style="thin">
        <color rgb="F59E0B"/>
      </top>
      <bottom style="thin">
        <color rgb="F59E0B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6366F1"/>
      </left>
      <right style="thin">
        <color rgb="6366F1"/>
      </right>
      <top style="thin">
        <color rgb="6366F1"/>
      </top>
      <bottom style="thin">
        <color rgb="6366F1"/>
      </bottom>
      <diagonal/>
    </border>
    <border>
      <left style="thin">
        <color rgb="059669"/>
      </left>
      <right style="thin">
        <color rgb="059669"/>
      </right>
      <top style="thin">
        <color rgb="059669"/>
      </top>
      <bottom style="thin">
        <color rgb="059669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3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 indent="1"/>
    </xf>
    <xf numFmtId="164" fontId="6" fillId="3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indent="1"/>
    </xf>
    <xf numFmtId="0" fontId="8" fillId="0" borderId="0" xfId="0" applyFont="1" applyAlignment="1">
      <alignment vertical="center" indent="1"/>
    </xf>
    <xf numFmtId="0" fontId="0" fillId="5" borderId="0" xfId="0" applyFill="1"/>
    <xf numFmtId="0" fontId="6" fillId="0" borderId="0" xfId="0" applyFont="1" applyAlignment="1">
      <alignment vertical="center" indent="1"/>
    </xf>
    <xf numFmtId="0" fontId="8" fillId="0" borderId="0" xfId="0" applyFont="1" applyAlignment="1">
      <alignment vertical="center" indent="2"/>
    </xf>
    <xf numFmtId="10" fontId="6" fillId="3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 indent="2"/>
    </xf>
    <xf numFmtId="10" fontId="6" fillId="5" borderId="2" xfId="0" applyNumberFormat="1" applyFont="1" applyFill="1" applyBorder="1" applyAlignment="1">
      <alignment horizontal="right" vertical="center"/>
    </xf>
    <xf numFmtId="0" fontId="9" fillId="6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left" vertical="center" wrapText="1" indent="1"/>
    </xf>
    <xf numFmtId="0" fontId="1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center" vertical="center"/>
    </xf>
    <xf numFmtId="164" fontId="5" fillId="4" borderId="2" xfId="0" applyNumberFormat="1" applyFont="1" applyFill="1" applyBorder="1" applyAlignment="1">
      <alignment horizontal="right" vertical="center"/>
    </xf>
    <xf numFmtId="4" fontId="6" fillId="3" borderId="1" xfId="0" applyNumberFormat="1" applyFont="1" applyFill="1" applyBorder="1" applyAlignment="1">
      <alignment horizontal="right" vertical="center"/>
    </xf>
    <xf numFmtId="164" fontId="14" fillId="4" borderId="2" xfId="0" applyNumberFormat="1" applyFont="1" applyFill="1" applyBorder="1" applyAlignment="1">
      <alignment horizontal="right" vertical="center"/>
    </xf>
    <xf numFmtId="0" fontId="15" fillId="7" borderId="0" xfId="0" applyFont="1" applyFill="1" applyAlignment="1">
      <alignment horizontal="left" vertical="center" indent="1"/>
    </xf>
    <xf numFmtId="0" fontId="7" fillId="0" borderId="0" xfId="0" applyFont="1" applyAlignment="1">
      <alignment horizontal="center"/>
    </xf>
    <xf numFmtId="164" fontId="16" fillId="7" borderId="2" xfId="0" applyNumberFormat="1" applyFont="1" applyFill="1" applyBorder="1" applyAlignment="1">
      <alignment horizontal="right" vertical="center"/>
    </xf>
    <xf numFmtId="0" fontId="0" fillId="8" borderId="0" xfId="0" applyFill="1"/>
    <xf numFmtId="0" fontId="6" fillId="5" borderId="0" xfId="0" applyFont="1" applyFill="1" applyAlignment="1">
      <alignment horizontal="left" vertical="center" indent="2"/>
    </xf>
    <xf numFmtId="164" fontId="6" fillId="5" borderId="2" xfId="0" applyNumberFormat="1" applyFont="1" applyFill="1" applyBorder="1" applyAlignment="1">
      <alignment horizontal="right" vertical="center"/>
    </xf>
    <xf numFmtId="0" fontId="16" fillId="7" borderId="0" xfId="0" applyFont="1" applyFill="1" applyAlignment="1">
      <alignment horizontal="left" vertical="center" indent="2"/>
    </xf>
    <xf numFmtId="0" fontId="17" fillId="9" borderId="0" xfId="0" applyFont="1" applyFill="1" applyAlignment="1">
      <alignment horizontal="left" vertical="center" indent="2"/>
    </xf>
    <xf numFmtId="164" fontId="17" fillId="9" borderId="2" xfId="0" applyNumberFormat="1" applyFont="1" applyFill="1" applyBorder="1" applyAlignment="1">
      <alignment horizontal="right" vertical="center"/>
    </xf>
    <xf numFmtId="0" fontId="18" fillId="10" borderId="0" xfId="0" applyFont="1" applyFill="1" applyAlignment="1">
      <alignment horizontal="left" vertical="center" indent="1"/>
    </xf>
    <xf numFmtId="164" fontId="18" fillId="10" borderId="0" xfId="0" applyNumberFormat="1" applyFont="1" applyFill="1" applyAlignment="1">
      <alignment horizontal="right" vertical="center"/>
    </xf>
    <xf numFmtId="0" fontId="19" fillId="10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 indent="1"/>
    </xf>
    <xf numFmtId="0" fontId="20" fillId="6" borderId="0" xfId="0" applyFont="1" applyFill="1" applyAlignment="1">
      <alignment horizontal="left" vertical="center"/>
    </xf>
    <xf numFmtId="0" fontId="20" fillId="6" borderId="0" xfId="0" applyFont="1" applyFill="1" applyAlignment="1">
      <alignment horizontal="left" vertical="center" indent="1"/>
    </xf>
    <xf numFmtId="0" fontId="20" fillId="6" borderId="0" xfId="0" applyFont="1" applyFill="1" applyAlignment="1">
      <alignment horizontal="center" vertical="center"/>
    </xf>
    <xf numFmtId="0" fontId="5" fillId="11" borderId="0" xfId="0" applyFont="1" applyFill="1" applyAlignment="1">
      <alignment vertical="center" indent="1"/>
    </xf>
    <xf numFmtId="164" fontId="5" fillId="11" borderId="2" xfId="0" applyNumberFormat="1" applyFont="1" applyFill="1" applyBorder="1" applyAlignment="1">
      <alignment horizontal="right" vertical="center"/>
    </xf>
    <xf numFmtId="164" fontId="17" fillId="11" borderId="2" xfId="0" applyNumberFormat="1" applyFont="1" applyFill="1" applyBorder="1" applyAlignment="1">
      <alignment horizontal="right" vertical="center"/>
    </xf>
    <xf numFmtId="164" fontId="16" fillId="11" borderId="2" xfId="0" applyNumberFormat="1" applyFont="1" applyFill="1" applyBorder="1" applyAlignment="1">
      <alignment horizontal="right" vertical="center"/>
    </xf>
    <xf numFmtId="164" fontId="21" fillId="11" borderId="2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vertical="center" indent="1"/>
    </xf>
    <xf numFmtId="164" fontId="5" fillId="5" borderId="2" xfId="0" applyNumberFormat="1" applyFont="1" applyFill="1" applyBorder="1" applyAlignment="1">
      <alignment horizontal="right" vertical="center"/>
    </xf>
    <xf numFmtId="164" fontId="17" fillId="5" borderId="2" xfId="0" applyNumberFormat="1" applyFont="1" applyFill="1" applyBorder="1" applyAlignment="1">
      <alignment horizontal="right" vertical="center"/>
    </xf>
    <xf numFmtId="164" fontId="16" fillId="5" borderId="2" xfId="0" applyNumberFormat="1" applyFont="1" applyFill="1" applyBorder="1" applyAlignment="1">
      <alignment horizontal="right" vertical="center"/>
    </xf>
    <xf numFmtId="164" fontId="21" fillId="5" borderId="2" xfId="0" applyNumberFormat="1" applyFont="1" applyFill="1" applyBorder="1" applyAlignment="1">
      <alignment horizontal="right" vertical="center"/>
    </xf>
    <xf numFmtId="0" fontId="0" fillId="6" borderId="0" xfId="0" applyFill="1"/>
    <xf numFmtId="0" fontId="22" fillId="2" borderId="0" xfId="0" applyFont="1" applyFill="1" applyAlignment="1">
      <alignment horizontal="left" vertical="center" indent="1"/>
    </xf>
    <xf numFmtId="164" fontId="22" fillId="2" borderId="3" xfId="0" applyNumberFormat="1" applyFont="1" applyFill="1" applyBorder="1" applyAlignment="1">
      <alignment horizontal="right" vertical="center"/>
    </xf>
    <xf numFmtId="164" fontId="18" fillId="10" borderId="4" xfId="0" applyNumberFormat="1" applyFont="1" applyFill="1" applyBorder="1" applyAlignment="1">
      <alignment horizontal="right" vertical="center"/>
    </xf>
    <xf numFmtId="0" fontId="23" fillId="10" borderId="0" xfId="0" applyFont="1" applyFill="1" applyAlignment="1">
      <alignment horizontal="center" vertical="center"/>
    </xf>
    <xf numFmtId="164" fontId="24" fillId="10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338CA"/>
    <pageSetUpPr fitToPage="1"/>
  </sheetPr>
  <dimension ref="A1:G368"/>
  <sheetViews>
    <sheetView workbookViewId="0"/>
  </sheetViews>
  <sheetFormatPr defaultRowHeight="15" outlineLevelRow="0" outlineLevelCol="0" x14ac:dyDescent="55"/>
  <cols>
    <col min="1" max="1" width="2" customWidth="1"/>
    <col min="2" max="2" width="18" customWidth="1"/>
    <col min="3" max="7" width="15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spans="1:6" x14ac:dyDescent="0.25">
      <c r="A3" s="3"/>
      <c r="B3" s="3"/>
      <c r="C3" s="3"/>
      <c r="D3" s="3"/>
      <c r="E3" s="3"/>
      <c r="F3" s="3"/>
    </row>
    <row r="4" ht="24" customHeight="1" spans="1:6" x14ac:dyDescent="0.25">
      <c r="A4" s="4" t="s">
        <v>2</v>
      </c>
      <c r="B4" s="4"/>
      <c r="C4" s="4"/>
      <c r="D4" s="4"/>
      <c r="E4" s="4"/>
      <c r="F4" s="4"/>
    </row>
    <row r="5" ht="16" customHeight="1" spans="1:6" x14ac:dyDescent="0.25">
      <c r="A5" s="5" t="s">
        <v>3</v>
      </c>
      <c r="B5" s="5" t="s">
        <v>4</v>
      </c>
      <c r="C5" s="5" t="s">
        <v>5</v>
      </c>
      <c r="D5" s="5" t="s">
        <v>3</v>
      </c>
      <c r="E5" s="5" t="s">
        <v>3</v>
      </c>
      <c r="F5" s="5" t="s">
        <v>3</v>
      </c>
    </row>
    <row r="6" ht="20" customHeight="1" spans="2:6" x14ac:dyDescent="0.25">
      <c r="B6" s="6" t="s">
        <v>6</v>
      </c>
      <c r="C6" s="7">
        <v>2063.39</v>
      </c>
      <c r="D6" s="8" t="s">
        <v>7</v>
      </c>
      <c r="E6" s="8"/>
      <c r="F6" s="8"/>
    </row>
    <row r="7" ht="20" customHeight="1" spans="2:3" x14ac:dyDescent="0.25">
      <c r="B7" s="9" t="s">
        <v>8</v>
      </c>
      <c r="C7" s="7">
        <v>64.208</v>
      </c>
    </row>
    <row r="8" ht="4" customHeight="1" spans="1:6" x14ac:dyDescent="0.25">
      <c r="A8" s="10"/>
      <c r="B8" s="10"/>
      <c r="C8" s="10"/>
      <c r="D8" s="10"/>
      <c r="E8" s="10"/>
      <c r="F8" s="10"/>
    </row>
    <row r="9" ht="18" customHeight="1" spans="2:2" x14ac:dyDescent="0.25">
      <c r="B9" s="11" t="s">
        <v>9</v>
      </c>
    </row>
    <row r="10" ht="18" customHeight="1" spans="2:3" x14ac:dyDescent="0.25">
      <c r="B10" s="12" t="s">
        <v>10</v>
      </c>
      <c r="C10" s="13">
        <v>0.047</v>
      </c>
    </row>
    <row r="11" ht="18" customHeight="1" spans="2:3" x14ac:dyDescent="0.25">
      <c r="B11" s="12" t="s">
        <v>11</v>
      </c>
      <c r="C11" s="13">
        <v>0.0155</v>
      </c>
    </row>
    <row r="12" ht="18" customHeight="1" spans="2:3" x14ac:dyDescent="0.25">
      <c r="B12" s="12" t="s">
        <v>12</v>
      </c>
      <c r="C12" s="13">
        <v>0.001</v>
      </c>
    </row>
    <row r="13" ht="18" customHeight="1" spans="2:3" x14ac:dyDescent="0.25">
      <c r="B13" s="12" t="s">
        <v>13</v>
      </c>
      <c r="C13" s="13">
        <v>0.0013</v>
      </c>
    </row>
    <row r="14" ht="18" customHeight="1" spans="2:3" x14ac:dyDescent="0.25">
      <c r="B14" s="12" t="s">
        <v>14</v>
      </c>
      <c r="C14" s="13">
        <v>0.0107</v>
      </c>
    </row>
    <row r="15" ht="20" customHeight="1" spans="2:3" x14ac:dyDescent="0.25">
      <c r="B15" s="14" t="s">
        <v>15</v>
      </c>
      <c r="C15" s="15">
        <f>C10+C11+C12+C13+C14</f>
      </c>
    </row>
    <row r="16" ht="4" customHeight="1" spans="1:6" x14ac:dyDescent="0.25">
      <c r="A16" s="10"/>
      <c r="B16" s="10"/>
      <c r="C16" s="10"/>
      <c r="D16" s="10"/>
      <c r="E16" s="10"/>
      <c r="F16" s="10"/>
    </row>
    <row r="17" ht="20" customHeight="1" spans="2:6" x14ac:dyDescent="0.25">
      <c r="B17" s="11" t="s">
        <v>16</v>
      </c>
      <c r="C17" s="13">
        <v>0.18</v>
      </c>
      <c r="D17" s="8" t="s">
        <v>17</v>
      </c>
      <c r="E17" s="8"/>
      <c r="F17" s="8"/>
    </row>
    <row r="18" ht="4" customHeight="1" spans="1:6" x14ac:dyDescent="0.25">
      <c r="A18" s="10"/>
      <c r="B18" s="10"/>
      <c r="C18" s="10"/>
      <c r="D18" s="10"/>
      <c r="E18" s="10"/>
      <c r="F18" s="10"/>
    </row>
    <row r="19" ht="18" customHeight="1" spans="2:2" x14ac:dyDescent="0.25">
      <c r="B19" s="11" t="s">
        <v>18</v>
      </c>
    </row>
    <row r="20" ht="16" customHeight="1" spans="1:6" x14ac:dyDescent="0.25">
      <c r="A20" s="16" t="s">
        <v>3</v>
      </c>
      <c r="B20" s="16" t="s">
        <v>19</v>
      </c>
      <c r="C20" s="16" t="s">
        <v>20</v>
      </c>
      <c r="D20" s="16" t="s">
        <v>21</v>
      </c>
      <c r="E20" s="16" t="s">
        <v>3</v>
      </c>
      <c r="F20" s="16" t="s">
        <v>3</v>
      </c>
    </row>
    <row r="21" ht="18" customHeight="1" spans="2:4" x14ac:dyDescent="0.25">
      <c r="B21" s="12" t="s">
        <v>22</v>
      </c>
      <c r="C21" s="7">
        <v>3.65</v>
      </c>
      <c r="D21" s="17" t="s">
        <v>23</v>
      </c>
    </row>
    <row r="22" ht="18" customHeight="1" spans="2:4" x14ac:dyDescent="0.25">
      <c r="B22" s="12" t="s">
        <v>24</v>
      </c>
      <c r="C22" s="7">
        <v>10.94</v>
      </c>
      <c r="D22" s="17" t="s">
        <v>23</v>
      </c>
    </row>
    <row r="23" ht="18" customHeight="1" spans="2:4" x14ac:dyDescent="0.25">
      <c r="B23" s="12" t="s">
        <v>25</v>
      </c>
      <c r="C23" s="7">
        <v>16.32</v>
      </c>
      <c r="D23" s="17" t="s">
        <v>23</v>
      </c>
    </row>
    <row r="24" ht="18" customHeight="1" spans="2:4" x14ac:dyDescent="0.25">
      <c r="B24" s="12" t="s">
        <v>26</v>
      </c>
      <c r="C24" s="7">
        <v>1.35</v>
      </c>
      <c r="D24" s="17" t="s">
        <v>23</v>
      </c>
    </row>
    <row r="25" ht="18" customHeight="1" spans="2:4" x14ac:dyDescent="0.25">
      <c r="B25" s="12" t="s">
        <v>27</v>
      </c>
      <c r="C25" s="7">
        <v>2.17</v>
      </c>
      <c r="D25" s="17" t="s">
        <v>23</v>
      </c>
    </row>
    <row r="26" ht="18" customHeight="1" spans="2:4" x14ac:dyDescent="0.25">
      <c r="B26" s="12" t="s">
        <v>28</v>
      </c>
      <c r="C26" s="7">
        <v>10.56</v>
      </c>
      <c r="D26" s="17" t="s">
        <v>23</v>
      </c>
    </row>
    <row r="27" ht="18" customHeight="1" spans="2:4" x14ac:dyDescent="0.25">
      <c r="B27" s="12" t="s">
        <v>29</v>
      </c>
      <c r="C27" s="7">
        <v>12.68</v>
      </c>
      <c r="D27" s="17" t="s">
        <v>23</v>
      </c>
    </row>
    <row r="28" ht="18" customHeight="1" spans="2:4" x14ac:dyDescent="0.25">
      <c r="B28" s="12" t="s">
        <v>30</v>
      </c>
      <c r="C28" s="7">
        <v>19.77</v>
      </c>
      <c r="D28" s="17" t="s">
        <v>23</v>
      </c>
    </row>
    <row r="29" ht="18" customHeight="1" spans="2:4" x14ac:dyDescent="0.25">
      <c r="B29" s="12" t="s">
        <v>31</v>
      </c>
      <c r="C29" s="7">
        <v>19.77</v>
      </c>
      <c r="D29" s="17" t="s">
        <v>23</v>
      </c>
    </row>
    <row r="30" ht="18" customHeight="1" spans="2:4" x14ac:dyDescent="0.25">
      <c r="B30" s="12" t="s">
        <v>32</v>
      </c>
      <c r="C30" s="7">
        <f>C$7</f>
      </c>
      <c r="D30" s="17" t="s">
        <v>23</v>
      </c>
    </row>
    <row r="31" ht="18" customHeight="1" spans="2:4" x14ac:dyDescent="0.25">
      <c r="B31" s="12" t="s">
        <v>33</v>
      </c>
      <c r="C31" s="7">
        <v>0.3</v>
      </c>
      <c r="D31" s="18" t="s">
        <v>34</v>
      </c>
    </row>
    <row r="32" ht="18" customHeight="1" spans="2:4" x14ac:dyDescent="0.25">
      <c r="B32" s="12" t="s">
        <v>35</v>
      </c>
      <c r="C32" s="19" t="s">
        <v>36</v>
      </c>
      <c r="D32" s="18" t="s">
        <v>34</v>
      </c>
    </row>
    <row r="33" ht="18" customHeight="1" spans="2:4" x14ac:dyDescent="0.25">
      <c r="B33" s="12" t="s">
        <v>37</v>
      </c>
      <c r="C33" s="19" t="s">
        <v>36</v>
      </c>
      <c r="D33" s="18" t="s">
        <v>34</v>
      </c>
    </row>
    <row r="34" ht="6" customHeight="1" spans="1:6" x14ac:dyDescent="0.25">
      <c r="A34" s="20"/>
      <c r="B34" s="20"/>
      <c r="C34" s="20"/>
      <c r="D34" s="20"/>
      <c r="E34" s="20"/>
      <c r="F34" s="20"/>
    </row>
    <row r="35" ht="32" customHeight="1" spans="1:6" x14ac:dyDescent="0.25">
      <c r="A35" s="21" t="s">
        <v>38</v>
      </c>
      <c r="B35" s="21"/>
      <c r="C35" s="21"/>
      <c r="D35" s="21"/>
      <c r="E35" s="21"/>
      <c r="F35" s="21"/>
    </row>
    <row r="36" ht="10" customHeight="1" spans="1:6" x14ac:dyDescent="0.25">
      <c r="A36" s="3"/>
      <c r="B36" s="3"/>
      <c r="C36" s="3"/>
      <c r="D36" s="3"/>
      <c r="E36" s="3"/>
      <c r="F36" s="3"/>
    </row>
    <row r="37" ht="24" customHeight="1" spans="1:6" x14ac:dyDescent="0.25">
      <c r="A37" s="4" t="s">
        <v>39</v>
      </c>
      <c r="B37" s="4"/>
      <c r="C37" s="4"/>
      <c r="D37" s="4"/>
      <c r="E37" s="22" t="s">
        <v>40</v>
      </c>
      <c r="F37" s="13">
        <v>0.1811</v>
      </c>
    </row>
    <row r="38" ht="16" customHeight="1" spans="1:6" x14ac:dyDescent="0.25">
      <c r="A38" s="23" t="s">
        <v>3</v>
      </c>
      <c r="B38" s="24" t="s">
        <v>41</v>
      </c>
      <c r="C38" s="25" t="s">
        <v>42</v>
      </c>
      <c r="D38" s="25" t="s">
        <v>43</v>
      </c>
      <c r="E38" s="25" t="s">
        <v>44</v>
      </c>
      <c r="F38" s="25" t="s">
        <v>45</v>
      </c>
    </row>
    <row r="39" ht="18" customHeight="1" spans="2:6" x14ac:dyDescent="0.25">
      <c r="B39" s="9" t="s">
        <v>46</v>
      </c>
      <c r="E39" s="26">
        <f>C$6</f>
      </c>
      <c r="F39" s="17" t="s">
        <v>23</v>
      </c>
    </row>
    <row r="40" ht="18" customHeight="1" spans="2:6" x14ac:dyDescent="0.25">
      <c r="B40" s="12" t="s">
        <v>22</v>
      </c>
      <c r="C40" s="27">
        <v>0</v>
      </c>
      <c r="D40" s="28">
        <f>C$21</f>
      </c>
      <c r="E40" s="26">
        <f>C40*D40</f>
      </c>
      <c r="F40" s="17" t="s">
        <v>23</v>
      </c>
    </row>
    <row r="41" ht="18" customHeight="1" spans="2:6" x14ac:dyDescent="0.25">
      <c r="B41" s="12" t="s">
        <v>24</v>
      </c>
      <c r="C41" s="27">
        <v>0</v>
      </c>
      <c r="D41" s="28">
        <f>C$22</f>
      </c>
      <c r="E41" s="26">
        <f>C41*D41</f>
      </c>
      <c r="F41" s="17" t="s">
        <v>23</v>
      </c>
    </row>
    <row r="42" ht="18" customHeight="1" spans="2:6" x14ac:dyDescent="0.25">
      <c r="B42" s="12" t="s">
        <v>25</v>
      </c>
      <c r="C42" s="27">
        <v>0</v>
      </c>
      <c r="D42" s="28">
        <f>C$23</f>
      </c>
      <c r="E42" s="26">
        <f>C42*D42</f>
      </c>
      <c r="F42" s="17" t="s">
        <v>23</v>
      </c>
    </row>
    <row r="43" ht="18" customHeight="1" spans="2:6" x14ac:dyDescent="0.25">
      <c r="B43" s="12" t="s">
        <v>26</v>
      </c>
      <c r="C43" s="27">
        <v>0</v>
      </c>
      <c r="D43" s="28">
        <f>C$24</f>
      </c>
      <c r="E43" s="26">
        <f>C43*D43</f>
      </c>
      <c r="F43" s="17" t="s">
        <v>23</v>
      </c>
    </row>
    <row r="44" ht="18" customHeight="1" spans="2:6" x14ac:dyDescent="0.25">
      <c r="B44" s="12" t="s">
        <v>47</v>
      </c>
      <c r="C44" s="27">
        <v>0</v>
      </c>
      <c r="D44" s="28">
        <f>C$25</f>
      </c>
      <c r="E44" s="26">
        <f>C44*D44</f>
      </c>
      <c r="F44" s="17" t="s">
        <v>23</v>
      </c>
    </row>
    <row r="45" ht="18" customHeight="1" spans="2:6" x14ac:dyDescent="0.25">
      <c r="B45" s="12" t="s">
        <v>28</v>
      </c>
      <c r="C45" s="27">
        <v>0</v>
      </c>
      <c r="D45" s="28">
        <f>C$26</f>
      </c>
      <c r="E45" s="26">
        <f>C45*D45</f>
      </c>
      <c r="F45" s="17" t="s">
        <v>23</v>
      </c>
    </row>
    <row r="46" ht="18" customHeight="1" spans="2:6" x14ac:dyDescent="0.25">
      <c r="B46" s="12" t="s">
        <v>48</v>
      </c>
      <c r="C46" s="27">
        <v>0</v>
      </c>
      <c r="D46" s="28">
        <f>C$27</f>
      </c>
      <c r="E46" s="26">
        <f>C46*D46</f>
      </c>
      <c r="F46" s="17" t="s">
        <v>23</v>
      </c>
    </row>
    <row r="47" ht="18" customHeight="1" spans="2:6" x14ac:dyDescent="0.25">
      <c r="B47" s="12" t="s">
        <v>30</v>
      </c>
      <c r="C47" s="27">
        <v>0</v>
      </c>
      <c r="D47" s="28">
        <f>C$28</f>
      </c>
      <c r="E47" s="26">
        <f>C47*D47</f>
      </c>
      <c r="F47" s="17" t="s">
        <v>23</v>
      </c>
    </row>
    <row r="48" ht="18" customHeight="1" spans="2:6" x14ac:dyDescent="0.25">
      <c r="B48" s="12" t="s">
        <v>31</v>
      </c>
      <c r="C48" s="27">
        <v>0</v>
      </c>
      <c r="D48" s="28">
        <f>C$29</f>
      </c>
      <c r="E48" s="26">
        <f>C48*D48</f>
      </c>
      <c r="F48" s="17" t="s">
        <v>23</v>
      </c>
    </row>
    <row r="49" ht="18" customHeight="1" spans="2:6" x14ac:dyDescent="0.25">
      <c r="B49" s="12" t="s">
        <v>49</v>
      </c>
      <c r="C49" s="27">
        <v>0</v>
      </c>
      <c r="D49" s="28">
        <f>C$30</f>
      </c>
      <c r="E49" s="26">
        <f>C49*D49</f>
      </c>
      <c r="F49" s="17" t="s">
        <v>23</v>
      </c>
    </row>
    <row r="50" ht="16" customHeight="1" spans="1:6" x14ac:dyDescent="0.25">
      <c r="A50" s="29" t="s">
        <v>50</v>
      </c>
      <c r="B50" s="29"/>
      <c r="C50" s="29"/>
      <c r="D50" s="29"/>
      <c r="E50" s="29"/>
      <c r="F50" s="29"/>
    </row>
    <row r="51" ht="18" customHeight="1" spans="2:6" x14ac:dyDescent="0.25">
      <c r="B51" s="12" t="s">
        <v>35</v>
      </c>
      <c r="C51" s="7">
        <v>0</v>
      </c>
      <c r="D51" s="30" t="s">
        <v>51</v>
      </c>
      <c r="E51" s="31">
        <f>C51</f>
      </c>
      <c r="F51" s="18" t="s">
        <v>34</v>
      </c>
    </row>
    <row r="52" ht="18" customHeight="1" spans="2:6" x14ac:dyDescent="0.25">
      <c r="B52" s="12" t="s">
        <v>37</v>
      </c>
      <c r="C52" s="7">
        <v>0</v>
      </c>
      <c r="D52" s="30" t="s">
        <v>51</v>
      </c>
      <c r="E52" s="31">
        <f>C52</f>
      </c>
      <c r="F52" s="18" t="s">
        <v>34</v>
      </c>
    </row>
    <row r="53" ht="18" customHeight="1" spans="2:6" x14ac:dyDescent="0.25">
      <c r="B53" s="12" t="s">
        <v>52</v>
      </c>
      <c r="C53" s="27">
        <v>0</v>
      </c>
      <c r="D53" s="28">
        <f>C$31</f>
      </c>
      <c r="E53" s="31">
        <f>C53*D53</f>
      </c>
      <c r="F53" s="18" t="s">
        <v>34</v>
      </c>
    </row>
    <row r="54" ht="3" customHeight="1" spans="1:6" x14ac:dyDescent="0.25">
      <c r="A54" s="32"/>
      <c r="B54" s="32"/>
      <c r="C54" s="32"/>
      <c r="D54" s="32"/>
      <c r="E54" s="32"/>
      <c r="F54" s="32"/>
    </row>
    <row r="55" ht="20" customHeight="1" spans="1:5" x14ac:dyDescent="0.25">
      <c r="A55" s="33" t="s">
        <v>53</v>
      </c>
      <c r="B55" s="33"/>
      <c r="C55" s="33"/>
      <c r="D55" s="33"/>
      <c r="E55" s="34">
        <f>E39+E40+E41+E42+E43+E44+E45+E46+E47+E48+E49</f>
      </c>
    </row>
    <row r="56" ht="20" customHeight="1" spans="1:5" x14ac:dyDescent="0.25">
      <c r="A56" s="35" t="s">
        <v>54</v>
      </c>
      <c r="B56" s="35"/>
      <c r="C56" s="35"/>
      <c r="D56" s="35"/>
      <c r="E56" s="31">
        <f>E51+E52+E53</f>
      </c>
    </row>
    <row r="57" ht="3" customHeight="1" spans="1:6" x14ac:dyDescent="0.25">
      <c r="A57" s="32"/>
      <c r="B57" s="32"/>
      <c r="C57" s="32"/>
      <c r="D57" s="32"/>
      <c r="E57" s="32"/>
      <c r="F57" s="32"/>
    </row>
    <row r="58" ht="20" customHeight="1" spans="1:5" x14ac:dyDescent="0.25">
      <c r="A58" s="36" t="s">
        <v>55</v>
      </c>
      <c r="B58" s="36"/>
      <c r="C58" s="36"/>
      <c r="D58" s="36"/>
      <c r="E58" s="37">
        <f>E55*C$15</f>
      </c>
    </row>
    <row r="59" ht="20" customHeight="1" spans="1:5" x14ac:dyDescent="0.25">
      <c r="A59" s="36" t="s">
        <v>56</v>
      </c>
      <c r="B59" s="36"/>
      <c r="C59" s="36"/>
      <c r="D59" s="36"/>
      <c r="E59" s="37">
        <f>E55*F37</f>
      </c>
    </row>
    <row r="60" ht="3" customHeight="1" spans="1:6" x14ac:dyDescent="0.25">
      <c r="A60" s="32"/>
      <c r="B60" s="32"/>
      <c r="C60" s="32"/>
      <c r="D60" s="32"/>
      <c r="E60" s="32"/>
      <c r="F60" s="32"/>
    </row>
    <row r="61" ht="28" customHeight="1" spans="1:6" x14ac:dyDescent="0.25">
      <c r="A61" s="38" t="s">
        <v>57</v>
      </c>
      <c r="B61" s="38"/>
      <c r="C61" s="38"/>
      <c r="D61" s="38"/>
      <c r="E61" s="39">
        <f>E55-E58-E59+E56</f>
      </c>
      <c r="F61" s="40" t="s">
        <v>58</v>
      </c>
    </row>
    <row r="62" ht="10" customHeight="1" spans="1:6" x14ac:dyDescent="0.25">
      <c r="A62" s="3"/>
      <c r="B62" s="3"/>
      <c r="C62" s="3"/>
      <c r="D62" s="3"/>
      <c r="E62" s="3"/>
      <c r="F62" s="3"/>
    </row>
    <row r="63" ht="24" customHeight="1" spans="1:6" x14ac:dyDescent="0.25">
      <c r="A63" s="4" t="s">
        <v>59</v>
      </c>
      <c r="B63" s="4"/>
      <c r="C63" s="4"/>
      <c r="D63" s="4"/>
      <c r="E63" s="22" t="s">
        <v>60</v>
      </c>
      <c r="F63" s="13">
        <f>$C$17</f>
      </c>
    </row>
    <row r="64" ht="16" customHeight="1" spans="1:6" x14ac:dyDescent="0.25">
      <c r="A64" s="23" t="s">
        <v>3</v>
      </c>
      <c r="B64" s="24" t="s">
        <v>41</v>
      </c>
      <c r="C64" s="25" t="s">
        <v>42</v>
      </c>
      <c r="D64" s="25" t="s">
        <v>43</v>
      </c>
      <c r="E64" s="25" t="s">
        <v>44</v>
      </c>
      <c r="F64" s="25" t="s">
        <v>45</v>
      </c>
    </row>
    <row r="65" ht="18" customHeight="1" spans="2:6" x14ac:dyDescent="0.25">
      <c r="B65" s="9" t="s">
        <v>46</v>
      </c>
      <c r="E65" s="26">
        <f>C$6</f>
      </c>
      <c r="F65" s="17" t="s">
        <v>23</v>
      </c>
    </row>
    <row r="66" ht="18" customHeight="1" spans="2:6" x14ac:dyDescent="0.25">
      <c r="B66" s="12" t="s">
        <v>22</v>
      </c>
      <c r="C66" s="27">
        <v>0</v>
      </c>
      <c r="D66" s="28">
        <f>C$21</f>
      </c>
      <c r="E66" s="26">
        <f>C66*D66</f>
      </c>
      <c r="F66" s="17" t="s">
        <v>23</v>
      </c>
    </row>
    <row r="67" ht="18" customHeight="1" spans="2:6" x14ac:dyDescent="0.25">
      <c r="B67" s="12" t="s">
        <v>24</v>
      </c>
      <c r="C67" s="27">
        <v>0</v>
      </c>
      <c r="D67" s="28">
        <f>C$22</f>
      </c>
      <c r="E67" s="26">
        <f>C67*D67</f>
      </c>
      <c r="F67" s="17" t="s">
        <v>23</v>
      </c>
    </row>
    <row r="68" ht="18" customHeight="1" spans="2:6" x14ac:dyDescent="0.25">
      <c r="B68" s="12" t="s">
        <v>25</v>
      </c>
      <c r="C68" s="27">
        <v>0</v>
      </c>
      <c r="D68" s="28">
        <f>C$23</f>
      </c>
      <c r="E68" s="26">
        <f>C68*D68</f>
      </c>
      <c r="F68" s="17" t="s">
        <v>23</v>
      </c>
    </row>
    <row r="69" ht="18" customHeight="1" spans="2:6" x14ac:dyDescent="0.25">
      <c r="B69" s="12" t="s">
        <v>26</v>
      </c>
      <c r="C69" s="27">
        <v>0</v>
      </c>
      <c r="D69" s="28">
        <f>C$24</f>
      </c>
      <c r="E69" s="26">
        <f>C69*D69</f>
      </c>
      <c r="F69" s="17" t="s">
        <v>23</v>
      </c>
    </row>
    <row r="70" ht="18" customHeight="1" spans="2:6" x14ac:dyDescent="0.25">
      <c r="B70" s="12" t="s">
        <v>47</v>
      </c>
      <c r="C70" s="27">
        <v>0</v>
      </c>
      <c r="D70" s="28">
        <f>C$25</f>
      </c>
      <c r="E70" s="26">
        <f>C70*D70</f>
      </c>
      <c r="F70" s="17" t="s">
        <v>23</v>
      </c>
    </row>
    <row r="71" ht="18" customHeight="1" spans="2:6" x14ac:dyDescent="0.25">
      <c r="B71" s="12" t="s">
        <v>28</v>
      </c>
      <c r="C71" s="27">
        <v>0</v>
      </c>
      <c r="D71" s="28">
        <f>C$26</f>
      </c>
      <c r="E71" s="26">
        <f>C71*D71</f>
      </c>
      <c r="F71" s="17" t="s">
        <v>23</v>
      </c>
    </row>
    <row r="72" ht="18" customHeight="1" spans="2:6" x14ac:dyDescent="0.25">
      <c r="B72" s="12" t="s">
        <v>48</v>
      </c>
      <c r="C72" s="27">
        <v>0</v>
      </c>
      <c r="D72" s="28">
        <f>C$27</f>
      </c>
      <c r="E72" s="26">
        <f>C72*D72</f>
      </c>
      <c r="F72" s="17" t="s">
        <v>23</v>
      </c>
    </row>
    <row r="73" ht="18" customHeight="1" spans="2:6" x14ac:dyDescent="0.25">
      <c r="B73" s="12" t="s">
        <v>30</v>
      </c>
      <c r="C73" s="27">
        <v>0</v>
      </c>
      <c r="D73" s="28">
        <f>C$28</f>
      </c>
      <c r="E73" s="26">
        <f>C73*D73</f>
      </c>
      <c r="F73" s="17" t="s">
        <v>23</v>
      </c>
    </row>
    <row r="74" ht="18" customHeight="1" spans="2:6" x14ac:dyDescent="0.25">
      <c r="B74" s="12" t="s">
        <v>31</v>
      </c>
      <c r="C74" s="27">
        <v>0</v>
      </c>
      <c r="D74" s="28">
        <f>C$29</f>
      </c>
      <c r="E74" s="26">
        <f>C74*D74</f>
      </c>
      <c r="F74" s="17" t="s">
        <v>23</v>
      </c>
    </row>
    <row r="75" ht="18" customHeight="1" spans="2:6" x14ac:dyDescent="0.25">
      <c r="B75" s="12" t="s">
        <v>49</v>
      </c>
      <c r="C75" s="27">
        <v>0</v>
      </c>
      <c r="D75" s="28">
        <f>C$30</f>
      </c>
      <c r="E75" s="26">
        <f>C75*D75</f>
      </c>
      <c r="F75" s="17" t="s">
        <v>23</v>
      </c>
    </row>
    <row r="76" ht="16" customHeight="1" spans="1:6" x14ac:dyDescent="0.25">
      <c r="A76" s="29" t="s">
        <v>50</v>
      </c>
      <c r="B76" s="29"/>
      <c r="C76" s="29"/>
      <c r="D76" s="29"/>
      <c r="E76" s="29"/>
      <c r="F76" s="29"/>
    </row>
    <row r="77" ht="18" customHeight="1" spans="2:6" x14ac:dyDescent="0.25">
      <c r="B77" s="12" t="s">
        <v>35</v>
      </c>
      <c r="C77" s="7">
        <v>0</v>
      </c>
      <c r="D77" s="30" t="s">
        <v>51</v>
      </c>
      <c r="E77" s="31">
        <f>C77</f>
      </c>
      <c r="F77" s="18" t="s">
        <v>34</v>
      </c>
    </row>
    <row r="78" ht="18" customHeight="1" spans="2:6" x14ac:dyDescent="0.25">
      <c r="B78" s="12" t="s">
        <v>37</v>
      </c>
      <c r="C78" s="7">
        <v>0</v>
      </c>
      <c r="D78" s="30" t="s">
        <v>51</v>
      </c>
      <c r="E78" s="31">
        <f>C78</f>
      </c>
      <c r="F78" s="18" t="s">
        <v>34</v>
      </c>
    </row>
    <row r="79" ht="18" customHeight="1" spans="2:6" x14ac:dyDescent="0.25">
      <c r="B79" s="12" t="s">
        <v>52</v>
      </c>
      <c r="C79" s="27">
        <v>0</v>
      </c>
      <c r="D79" s="28">
        <f>C$31</f>
      </c>
      <c r="E79" s="31">
        <f>C79*D79</f>
      </c>
      <c r="F79" s="18" t="s">
        <v>34</v>
      </c>
    </row>
    <row r="80" ht="3" customHeight="1" spans="1:6" x14ac:dyDescent="0.25">
      <c r="A80" s="32"/>
      <c r="B80" s="32"/>
      <c r="C80" s="32"/>
      <c r="D80" s="32"/>
      <c r="E80" s="32"/>
      <c r="F80" s="32"/>
    </row>
    <row r="81" ht="20" customHeight="1" spans="1:5" x14ac:dyDescent="0.25">
      <c r="A81" s="33" t="s">
        <v>53</v>
      </c>
      <c r="B81" s="33"/>
      <c r="C81" s="33"/>
      <c r="D81" s="33"/>
      <c r="E81" s="34">
        <f>E65+E66+E67+E68+E69+E70+E71+E72+E73+E74+E75</f>
      </c>
    </row>
    <row r="82" ht="20" customHeight="1" spans="1:5" x14ac:dyDescent="0.25">
      <c r="A82" s="35" t="s">
        <v>54</v>
      </c>
      <c r="B82" s="35"/>
      <c r="C82" s="35"/>
      <c r="D82" s="35"/>
      <c r="E82" s="31">
        <f>E77+E78+E79</f>
      </c>
    </row>
    <row r="83" ht="3" customHeight="1" spans="1:6" x14ac:dyDescent="0.25">
      <c r="A83" s="32"/>
      <c r="B83" s="32"/>
      <c r="C83" s="32"/>
      <c r="D83" s="32"/>
      <c r="E83" s="32"/>
      <c r="F83" s="32"/>
    </row>
    <row r="84" ht="20" customHeight="1" spans="1:5" x14ac:dyDescent="0.25">
      <c r="A84" s="36" t="s">
        <v>55</v>
      </c>
      <c r="B84" s="36"/>
      <c r="C84" s="36"/>
      <c r="D84" s="36"/>
      <c r="E84" s="37">
        <f>E81*C$15</f>
      </c>
    </row>
    <row r="85" ht="20" customHeight="1" spans="1:5" x14ac:dyDescent="0.25">
      <c r="A85" s="36" t="s">
        <v>61</v>
      </c>
      <c r="B85" s="36"/>
      <c r="C85" s="36"/>
      <c r="D85" s="36"/>
      <c r="E85" s="37">
        <f>E81*F63</f>
      </c>
    </row>
    <row r="86" ht="3" customHeight="1" spans="1:6" x14ac:dyDescent="0.25">
      <c r="A86" s="32"/>
      <c r="B86" s="32"/>
      <c r="C86" s="32"/>
      <c r="D86" s="32"/>
      <c r="E86" s="32"/>
      <c r="F86" s="32"/>
    </row>
    <row r="87" ht="28" customHeight="1" spans="1:6" x14ac:dyDescent="0.25">
      <c r="A87" s="38" t="s">
        <v>57</v>
      </c>
      <c r="B87" s="38"/>
      <c r="C87" s="38"/>
      <c r="D87" s="38"/>
      <c r="E87" s="39">
        <f>E81-E84-E85+E82</f>
      </c>
      <c r="F87" s="40" t="s">
        <v>58</v>
      </c>
    </row>
    <row r="88" ht="10" customHeight="1" spans="1:6" x14ac:dyDescent="0.25">
      <c r="A88" s="3"/>
      <c r="B88" s="3"/>
      <c r="C88" s="3"/>
      <c r="D88" s="3"/>
      <c r="E88" s="3"/>
      <c r="F88" s="3"/>
    </row>
    <row r="89" ht="24" customHeight="1" spans="1:6" x14ac:dyDescent="0.25">
      <c r="A89" s="4" t="s">
        <v>62</v>
      </c>
      <c r="B89" s="4"/>
      <c r="C89" s="4"/>
      <c r="D89" s="4"/>
      <c r="E89" s="22" t="s">
        <v>40</v>
      </c>
      <c r="F89" s="13">
        <f>$C$17</f>
      </c>
    </row>
    <row r="90" ht="16" customHeight="1" spans="1:6" x14ac:dyDescent="0.25">
      <c r="A90" s="23" t="s">
        <v>3</v>
      </c>
      <c r="B90" s="24" t="s">
        <v>41</v>
      </c>
      <c r="C90" s="25" t="s">
        <v>42</v>
      </c>
      <c r="D90" s="25" t="s">
        <v>43</v>
      </c>
      <c r="E90" s="25" t="s">
        <v>44</v>
      </c>
      <c r="F90" s="25" t="s">
        <v>45</v>
      </c>
    </row>
    <row r="91" ht="18" customHeight="1" spans="2:6" x14ac:dyDescent="0.25">
      <c r="B91" s="9" t="s">
        <v>46</v>
      </c>
      <c r="E91" s="26">
        <f>C$6</f>
      </c>
      <c r="F91" s="17" t="s">
        <v>23</v>
      </c>
    </row>
    <row r="92" ht="18" customHeight="1" spans="2:6" x14ac:dyDescent="0.25">
      <c r="B92" s="12" t="s">
        <v>22</v>
      </c>
      <c r="C92" s="27">
        <v>0</v>
      </c>
      <c r="D92" s="28">
        <f>C$21</f>
      </c>
      <c r="E92" s="26">
        <f>C92*D92</f>
      </c>
      <c r="F92" s="17" t="s">
        <v>23</v>
      </c>
    </row>
    <row r="93" ht="18" customHeight="1" spans="2:6" x14ac:dyDescent="0.25">
      <c r="B93" s="12" t="s">
        <v>24</v>
      </c>
      <c r="C93" s="27">
        <v>0</v>
      </c>
      <c r="D93" s="28">
        <f>C$22</f>
      </c>
      <c r="E93" s="26">
        <f>C93*D93</f>
      </c>
      <c r="F93" s="17" t="s">
        <v>23</v>
      </c>
    </row>
    <row r="94" ht="18" customHeight="1" spans="2:6" x14ac:dyDescent="0.25">
      <c r="B94" s="12" t="s">
        <v>25</v>
      </c>
      <c r="C94" s="27">
        <v>0</v>
      </c>
      <c r="D94" s="28">
        <f>C$23</f>
      </c>
      <c r="E94" s="26">
        <f>C94*D94</f>
      </c>
      <c r="F94" s="17" t="s">
        <v>23</v>
      </c>
    </row>
    <row r="95" ht="18" customHeight="1" spans="2:6" x14ac:dyDescent="0.25">
      <c r="B95" s="12" t="s">
        <v>26</v>
      </c>
      <c r="C95" s="27">
        <v>0</v>
      </c>
      <c r="D95" s="28">
        <f>C$24</f>
      </c>
      <c r="E95" s="26">
        <f>C95*D95</f>
      </c>
      <c r="F95" s="17" t="s">
        <v>23</v>
      </c>
    </row>
    <row r="96" ht="18" customHeight="1" spans="2:6" x14ac:dyDescent="0.25">
      <c r="B96" s="12" t="s">
        <v>47</v>
      </c>
      <c r="C96" s="27">
        <v>0</v>
      </c>
      <c r="D96" s="28">
        <f>C$25</f>
      </c>
      <c r="E96" s="26">
        <f>C96*D96</f>
      </c>
      <c r="F96" s="17" t="s">
        <v>23</v>
      </c>
    </row>
    <row r="97" ht="18" customHeight="1" spans="2:6" x14ac:dyDescent="0.25">
      <c r="B97" s="12" t="s">
        <v>28</v>
      </c>
      <c r="C97" s="27">
        <v>0</v>
      </c>
      <c r="D97" s="28">
        <f>C$26</f>
      </c>
      <c r="E97" s="26">
        <f>C97*D97</f>
      </c>
      <c r="F97" s="17" t="s">
        <v>23</v>
      </c>
    </row>
    <row r="98" ht="18" customHeight="1" spans="2:6" x14ac:dyDescent="0.25">
      <c r="B98" s="12" t="s">
        <v>48</v>
      </c>
      <c r="C98" s="27">
        <v>0</v>
      </c>
      <c r="D98" s="28">
        <f>C$27</f>
      </c>
      <c r="E98" s="26">
        <f>C98*D98</f>
      </c>
      <c r="F98" s="17" t="s">
        <v>23</v>
      </c>
    </row>
    <row r="99" ht="18" customHeight="1" spans="2:6" x14ac:dyDescent="0.25">
      <c r="B99" s="12" t="s">
        <v>30</v>
      </c>
      <c r="C99" s="27">
        <v>0</v>
      </c>
      <c r="D99" s="28">
        <f>C$28</f>
      </c>
      <c r="E99" s="26">
        <f>C99*D99</f>
      </c>
      <c r="F99" s="17" t="s">
        <v>23</v>
      </c>
    </row>
    <row r="100" ht="18" customHeight="1" spans="2:6" x14ac:dyDescent="0.25">
      <c r="B100" s="12" t="s">
        <v>31</v>
      </c>
      <c r="C100" s="27">
        <v>0</v>
      </c>
      <c r="D100" s="28">
        <f>C$29</f>
      </c>
      <c r="E100" s="26">
        <f>C100*D100</f>
      </c>
      <c r="F100" s="17" t="s">
        <v>23</v>
      </c>
    </row>
    <row r="101" ht="18" customHeight="1" spans="2:6" x14ac:dyDescent="0.25">
      <c r="B101" s="12" t="s">
        <v>49</v>
      </c>
      <c r="C101" s="27">
        <v>0</v>
      </c>
      <c r="D101" s="28">
        <f>C$30</f>
      </c>
      <c r="E101" s="26">
        <f>C101*D101</f>
      </c>
      <c r="F101" s="17" t="s">
        <v>23</v>
      </c>
    </row>
    <row r="102" ht="16" customHeight="1" spans="1:6" x14ac:dyDescent="0.25">
      <c r="A102" s="29" t="s">
        <v>50</v>
      </c>
      <c r="B102" s="29"/>
      <c r="C102" s="29"/>
      <c r="D102" s="29"/>
      <c r="E102" s="29"/>
      <c r="F102" s="29"/>
    </row>
    <row r="103" ht="18" customHeight="1" spans="2:6" x14ac:dyDescent="0.25">
      <c r="B103" s="12" t="s">
        <v>35</v>
      </c>
      <c r="C103" s="7">
        <v>0</v>
      </c>
      <c r="D103" s="30" t="s">
        <v>51</v>
      </c>
      <c r="E103" s="31">
        <f>C103</f>
      </c>
      <c r="F103" s="18" t="s">
        <v>34</v>
      </c>
    </row>
    <row r="104" ht="18" customHeight="1" spans="2:6" x14ac:dyDescent="0.25">
      <c r="B104" s="12" t="s">
        <v>37</v>
      </c>
      <c r="C104" s="7">
        <v>0</v>
      </c>
      <c r="D104" s="30" t="s">
        <v>51</v>
      </c>
      <c r="E104" s="31">
        <f>C104</f>
      </c>
      <c r="F104" s="18" t="s">
        <v>34</v>
      </c>
    </row>
    <row r="105" ht="18" customHeight="1" spans="2:6" x14ac:dyDescent="0.25">
      <c r="B105" s="12" t="s">
        <v>52</v>
      </c>
      <c r="C105" s="27">
        <v>0</v>
      </c>
      <c r="D105" s="28">
        <f>C$31</f>
      </c>
      <c r="E105" s="31">
        <f>C105*D105</f>
      </c>
      <c r="F105" s="18" t="s">
        <v>34</v>
      </c>
    </row>
    <row r="106" ht="3" customHeight="1" spans="1:6" x14ac:dyDescent="0.25">
      <c r="A106" s="32"/>
      <c r="B106" s="32"/>
      <c r="C106" s="32"/>
      <c r="D106" s="32"/>
      <c r="E106" s="32"/>
      <c r="F106" s="32"/>
    </row>
    <row r="107" ht="20" customHeight="1" spans="1:5" x14ac:dyDescent="0.25">
      <c r="A107" s="33" t="s">
        <v>53</v>
      </c>
      <c r="B107" s="33"/>
      <c r="C107" s="33"/>
      <c r="D107" s="33"/>
      <c r="E107" s="34">
        <f>E91+E92+E93+E94+E95+E96+E97+E98+E99+E100+E101</f>
      </c>
    </row>
    <row r="108" ht="20" customHeight="1" spans="1:5" x14ac:dyDescent="0.25">
      <c r="A108" s="35" t="s">
        <v>54</v>
      </c>
      <c r="B108" s="35"/>
      <c r="C108" s="35"/>
      <c r="D108" s="35"/>
      <c r="E108" s="31">
        <f>E103+E104+E105</f>
      </c>
    </row>
    <row r="109" ht="3" customHeight="1" spans="1:6" x14ac:dyDescent="0.25">
      <c r="A109" s="32"/>
      <c r="B109" s="32"/>
      <c r="C109" s="32"/>
      <c r="D109" s="32"/>
      <c r="E109" s="32"/>
      <c r="F109" s="32"/>
    </row>
    <row r="110" ht="20" customHeight="1" spans="1:5" x14ac:dyDescent="0.25">
      <c r="A110" s="36" t="s">
        <v>55</v>
      </c>
      <c r="B110" s="36"/>
      <c r="C110" s="36"/>
      <c r="D110" s="36"/>
      <c r="E110" s="37">
        <f>E107*C$15</f>
      </c>
    </row>
    <row r="111" ht="20" customHeight="1" spans="1:5" x14ac:dyDescent="0.25">
      <c r="A111" s="36" t="s">
        <v>61</v>
      </c>
      <c r="B111" s="36"/>
      <c r="C111" s="36"/>
      <c r="D111" s="36"/>
      <c r="E111" s="37">
        <f>E107*F89</f>
      </c>
    </row>
    <row r="112" ht="3" customHeight="1" spans="1:6" x14ac:dyDescent="0.25">
      <c r="A112" s="32"/>
      <c r="B112" s="32"/>
      <c r="C112" s="32"/>
      <c r="D112" s="32"/>
      <c r="E112" s="32"/>
      <c r="F112" s="32"/>
    </row>
    <row r="113" ht="28" customHeight="1" spans="1:6" x14ac:dyDescent="0.25">
      <c r="A113" s="38" t="s">
        <v>57</v>
      </c>
      <c r="B113" s="38"/>
      <c r="C113" s="38"/>
      <c r="D113" s="38"/>
      <c r="E113" s="39">
        <f>E107-E110-E111+E108</f>
      </c>
      <c r="F113" s="40" t="s">
        <v>58</v>
      </c>
    </row>
    <row r="114" ht="10" customHeight="1" spans="1:6" x14ac:dyDescent="0.25">
      <c r="A114" s="3"/>
      <c r="B114" s="3"/>
      <c r="C114" s="3"/>
      <c r="D114" s="3"/>
      <c r="E114" s="3"/>
      <c r="F114" s="3"/>
    </row>
    <row r="115" ht="24" customHeight="1" spans="1:6" x14ac:dyDescent="0.25">
      <c r="A115" s="4" t="s">
        <v>63</v>
      </c>
      <c r="B115" s="4"/>
      <c r="C115" s="4"/>
      <c r="D115" s="4"/>
      <c r="E115" s="22" t="s">
        <v>64</v>
      </c>
      <c r="F115" s="13">
        <f>$C$17</f>
      </c>
    </row>
    <row r="116" ht="16" customHeight="1" spans="1:6" x14ac:dyDescent="0.25">
      <c r="A116" s="23" t="s">
        <v>3</v>
      </c>
      <c r="B116" s="24" t="s">
        <v>41</v>
      </c>
      <c r="C116" s="25" t="s">
        <v>42</v>
      </c>
      <c r="D116" s="25" t="s">
        <v>43</v>
      </c>
      <c r="E116" s="25" t="s">
        <v>44</v>
      </c>
      <c r="F116" s="25" t="s">
        <v>45</v>
      </c>
    </row>
    <row r="117" ht="18" customHeight="1" spans="2:6" x14ac:dyDescent="0.25">
      <c r="B117" s="9" t="s">
        <v>46</v>
      </c>
      <c r="E117" s="26">
        <f>C$6</f>
      </c>
      <c r="F117" s="17" t="s">
        <v>23</v>
      </c>
    </row>
    <row r="118" ht="18" customHeight="1" spans="2:6" x14ac:dyDescent="0.25">
      <c r="B118" s="12" t="s">
        <v>22</v>
      </c>
      <c r="C118" s="27">
        <v>0</v>
      </c>
      <c r="D118" s="28">
        <f>C$21</f>
      </c>
      <c r="E118" s="26">
        <f>C118*D118</f>
      </c>
      <c r="F118" s="17" t="s">
        <v>23</v>
      </c>
    </row>
    <row r="119" ht="18" customHeight="1" spans="2:6" x14ac:dyDescent="0.25">
      <c r="B119" s="12" t="s">
        <v>24</v>
      </c>
      <c r="C119" s="27">
        <v>0</v>
      </c>
      <c r="D119" s="28">
        <f>C$22</f>
      </c>
      <c r="E119" s="26">
        <f>C119*D119</f>
      </c>
      <c r="F119" s="17" t="s">
        <v>23</v>
      </c>
    </row>
    <row r="120" ht="18" customHeight="1" spans="2:6" x14ac:dyDescent="0.25">
      <c r="B120" s="12" t="s">
        <v>25</v>
      </c>
      <c r="C120" s="27">
        <v>0</v>
      </c>
      <c r="D120" s="28">
        <f>C$23</f>
      </c>
      <c r="E120" s="26">
        <f>C120*D120</f>
      </c>
      <c r="F120" s="17" t="s">
        <v>23</v>
      </c>
    </row>
    <row r="121" ht="18" customHeight="1" spans="2:6" x14ac:dyDescent="0.25">
      <c r="B121" s="12" t="s">
        <v>26</v>
      </c>
      <c r="C121" s="27">
        <v>0</v>
      </c>
      <c r="D121" s="28">
        <f>C$24</f>
      </c>
      <c r="E121" s="26">
        <f>C121*D121</f>
      </c>
      <c r="F121" s="17" t="s">
        <v>23</v>
      </c>
    </row>
    <row r="122" ht="18" customHeight="1" spans="2:6" x14ac:dyDescent="0.25">
      <c r="B122" s="12" t="s">
        <v>47</v>
      </c>
      <c r="C122" s="27">
        <v>0</v>
      </c>
      <c r="D122" s="28">
        <f>C$25</f>
      </c>
      <c r="E122" s="26">
        <f>C122*D122</f>
      </c>
      <c r="F122" s="17" t="s">
        <v>23</v>
      </c>
    </row>
    <row r="123" ht="18" customHeight="1" spans="2:6" x14ac:dyDescent="0.25">
      <c r="B123" s="12" t="s">
        <v>28</v>
      </c>
      <c r="C123" s="27">
        <v>0</v>
      </c>
      <c r="D123" s="28">
        <f>C$26</f>
      </c>
      <c r="E123" s="26">
        <f>C123*D123</f>
      </c>
      <c r="F123" s="17" t="s">
        <v>23</v>
      </c>
    </row>
    <row r="124" ht="18" customHeight="1" spans="2:6" x14ac:dyDescent="0.25">
      <c r="B124" s="12" t="s">
        <v>48</v>
      </c>
      <c r="C124" s="27">
        <v>0</v>
      </c>
      <c r="D124" s="28">
        <f>C$27</f>
      </c>
      <c r="E124" s="26">
        <f>C124*D124</f>
      </c>
      <c r="F124" s="17" t="s">
        <v>23</v>
      </c>
    </row>
    <row r="125" ht="18" customHeight="1" spans="2:6" x14ac:dyDescent="0.25">
      <c r="B125" s="12" t="s">
        <v>30</v>
      </c>
      <c r="C125" s="27">
        <v>0</v>
      </c>
      <c r="D125" s="28">
        <f>C$28</f>
      </c>
      <c r="E125" s="26">
        <f>C125*D125</f>
      </c>
      <c r="F125" s="17" t="s">
        <v>23</v>
      </c>
    </row>
    <row r="126" ht="18" customHeight="1" spans="2:6" x14ac:dyDescent="0.25">
      <c r="B126" s="12" t="s">
        <v>31</v>
      </c>
      <c r="C126" s="27">
        <v>0</v>
      </c>
      <c r="D126" s="28">
        <f>C$29</f>
      </c>
      <c r="E126" s="26">
        <f>C126*D126</f>
      </c>
      <c r="F126" s="17" t="s">
        <v>23</v>
      </c>
    </row>
    <row r="127" ht="18" customHeight="1" spans="2:6" x14ac:dyDescent="0.25">
      <c r="B127" s="12" t="s">
        <v>49</v>
      </c>
      <c r="C127" s="27">
        <v>0</v>
      </c>
      <c r="D127" s="28">
        <f>C$30</f>
      </c>
      <c r="E127" s="26">
        <f>C127*D127</f>
      </c>
      <c r="F127" s="17" t="s">
        <v>23</v>
      </c>
    </row>
    <row r="128" ht="16" customHeight="1" spans="1:6" x14ac:dyDescent="0.25">
      <c r="A128" s="29" t="s">
        <v>50</v>
      </c>
      <c r="B128" s="29"/>
      <c r="C128" s="29"/>
      <c r="D128" s="29"/>
      <c r="E128" s="29"/>
      <c r="F128" s="29"/>
    </row>
    <row r="129" ht="18" customHeight="1" spans="2:6" x14ac:dyDescent="0.25">
      <c r="B129" s="12" t="s">
        <v>35</v>
      </c>
      <c r="C129" s="7">
        <v>0</v>
      </c>
      <c r="D129" s="30" t="s">
        <v>51</v>
      </c>
      <c r="E129" s="31">
        <f>C129</f>
      </c>
      <c r="F129" s="18" t="s">
        <v>34</v>
      </c>
    </row>
    <row r="130" ht="18" customHeight="1" spans="2:6" x14ac:dyDescent="0.25">
      <c r="B130" s="12" t="s">
        <v>37</v>
      </c>
      <c r="C130" s="7">
        <v>0</v>
      </c>
      <c r="D130" s="30" t="s">
        <v>51</v>
      </c>
      <c r="E130" s="31">
        <f>C130</f>
      </c>
      <c r="F130" s="18" t="s">
        <v>34</v>
      </c>
    </row>
    <row r="131" ht="18" customHeight="1" spans="2:6" x14ac:dyDescent="0.25">
      <c r="B131" s="12" t="s">
        <v>52</v>
      </c>
      <c r="C131" s="27">
        <v>0</v>
      </c>
      <c r="D131" s="28">
        <f>C$31</f>
      </c>
      <c r="E131" s="31">
        <f>C131*D131</f>
      </c>
      <c r="F131" s="18" t="s">
        <v>34</v>
      </c>
    </row>
    <row r="132" ht="3" customHeight="1" spans="1:6" x14ac:dyDescent="0.25">
      <c r="A132" s="32"/>
      <c r="B132" s="32"/>
      <c r="C132" s="32"/>
      <c r="D132" s="32"/>
      <c r="E132" s="32"/>
      <c r="F132" s="32"/>
    </row>
    <row r="133" ht="20" customHeight="1" spans="1:5" x14ac:dyDescent="0.25">
      <c r="A133" s="33" t="s">
        <v>53</v>
      </c>
      <c r="B133" s="33"/>
      <c r="C133" s="33"/>
      <c r="D133" s="33"/>
      <c r="E133" s="34">
        <f>E117+E118+E119+E120+E121+E122+E123+E124+E125+E126+E127</f>
      </c>
    </row>
    <row r="134" ht="20" customHeight="1" spans="1:5" x14ac:dyDescent="0.25">
      <c r="A134" s="35" t="s">
        <v>54</v>
      </c>
      <c r="B134" s="35"/>
      <c r="C134" s="35"/>
      <c r="D134" s="35"/>
      <c r="E134" s="31">
        <f>E129+E130+E131</f>
      </c>
    </row>
    <row r="135" ht="3" customHeight="1" spans="1:6" x14ac:dyDescent="0.25">
      <c r="A135" s="32"/>
      <c r="B135" s="32"/>
      <c r="C135" s="32"/>
      <c r="D135" s="32"/>
      <c r="E135" s="32"/>
      <c r="F135" s="32"/>
    </row>
    <row r="136" ht="20" customHeight="1" spans="1:5" x14ac:dyDescent="0.25">
      <c r="A136" s="36" t="s">
        <v>55</v>
      </c>
      <c r="B136" s="36"/>
      <c r="C136" s="36"/>
      <c r="D136" s="36"/>
      <c r="E136" s="37">
        <f>E133*C$15</f>
      </c>
    </row>
    <row r="137" ht="20" customHeight="1" spans="1:5" x14ac:dyDescent="0.25">
      <c r="A137" s="36" t="s">
        <v>61</v>
      </c>
      <c r="B137" s="36"/>
      <c r="C137" s="36"/>
      <c r="D137" s="36"/>
      <c r="E137" s="37">
        <f>E133*F115</f>
      </c>
    </row>
    <row r="138" ht="3" customHeight="1" spans="1:6" x14ac:dyDescent="0.25">
      <c r="A138" s="32"/>
      <c r="B138" s="32"/>
      <c r="C138" s="32"/>
      <c r="D138" s="32"/>
      <c r="E138" s="32"/>
      <c r="F138" s="32"/>
    </row>
    <row r="139" ht="28" customHeight="1" spans="1:6" x14ac:dyDescent="0.25">
      <c r="A139" s="38" t="s">
        <v>57</v>
      </c>
      <c r="B139" s="38"/>
      <c r="C139" s="38"/>
      <c r="D139" s="38"/>
      <c r="E139" s="39">
        <f>E133-E136-E137+E134</f>
      </c>
      <c r="F139" s="40" t="s">
        <v>58</v>
      </c>
    </row>
    <row r="140" ht="10" customHeight="1" spans="1:6" x14ac:dyDescent="0.25">
      <c r="A140" s="3"/>
      <c r="B140" s="3"/>
      <c r="C140" s="3"/>
      <c r="D140" s="3"/>
      <c r="E140" s="3"/>
      <c r="F140" s="3"/>
    </row>
    <row r="141" ht="24" customHeight="1" spans="1:6" x14ac:dyDescent="0.25">
      <c r="A141" s="4" t="s">
        <v>65</v>
      </c>
      <c r="B141" s="4"/>
      <c r="C141" s="4"/>
      <c r="D141" s="4"/>
      <c r="E141" s="22" t="s">
        <v>40</v>
      </c>
      <c r="F141" s="13">
        <f>$C$17</f>
      </c>
    </row>
    <row r="142" ht="16" customHeight="1" spans="1:6" x14ac:dyDescent="0.25">
      <c r="A142" s="23" t="s">
        <v>3</v>
      </c>
      <c r="B142" s="24" t="s">
        <v>41</v>
      </c>
      <c r="C142" s="25" t="s">
        <v>42</v>
      </c>
      <c r="D142" s="25" t="s">
        <v>43</v>
      </c>
      <c r="E142" s="25" t="s">
        <v>44</v>
      </c>
      <c r="F142" s="25" t="s">
        <v>45</v>
      </c>
    </row>
    <row r="143" ht="18" customHeight="1" spans="2:6" x14ac:dyDescent="0.25">
      <c r="B143" s="9" t="s">
        <v>46</v>
      </c>
      <c r="E143" s="26">
        <f>C$6</f>
      </c>
      <c r="F143" s="17" t="s">
        <v>23</v>
      </c>
    </row>
    <row r="144" ht="18" customHeight="1" spans="2:6" x14ac:dyDescent="0.25">
      <c r="B144" s="12" t="s">
        <v>22</v>
      </c>
      <c r="C144" s="27">
        <v>0</v>
      </c>
      <c r="D144" s="28">
        <f>C$21</f>
      </c>
      <c r="E144" s="26">
        <f>C144*D144</f>
      </c>
      <c r="F144" s="17" t="s">
        <v>23</v>
      </c>
    </row>
    <row r="145" ht="18" customHeight="1" spans="2:6" x14ac:dyDescent="0.25">
      <c r="B145" s="12" t="s">
        <v>24</v>
      </c>
      <c r="C145" s="27">
        <v>0</v>
      </c>
      <c r="D145" s="28">
        <f>C$22</f>
      </c>
      <c r="E145" s="26">
        <f>C145*D145</f>
      </c>
      <c r="F145" s="17" t="s">
        <v>23</v>
      </c>
    </row>
    <row r="146" ht="18" customHeight="1" spans="2:6" x14ac:dyDescent="0.25">
      <c r="B146" s="12" t="s">
        <v>25</v>
      </c>
      <c r="C146" s="27">
        <v>0</v>
      </c>
      <c r="D146" s="28">
        <f>C$23</f>
      </c>
      <c r="E146" s="26">
        <f>C146*D146</f>
      </c>
      <c r="F146" s="17" t="s">
        <v>23</v>
      </c>
    </row>
    <row r="147" ht="18" customHeight="1" spans="2:6" x14ac:dyDescent="0.25">
      <c r="B147" s="12" t="s">
        <v>26</v>
      </c>
      <c r="C147" s="27">
        <v>0</v>
      </c>
      <c r="D147" s="28">
        <f>C$24</f>
      </c>
      <c r="E147" s="26">
        <f>C147*D147</f>
      </c>
      <c r="F147" s="17" t="s">
        <v>23</v>
      </c>
    </row>
    <row r="148" ht="18" customHeight="1" spans="2:6" x14ac:dyDescent="0.25">
      <c r="B148" s="12" t="s">
        <v>47</v>
      </c>
      <c r="C148" s="27">
        <v>0</v>
      </c>
      <c r="D148" s="28">
        <f>C$25</f>
      </c>
      <c r="E148" s="26">
        <f>C148*D148</f>
      </c>
      <c r="F148" s="17" t="s">
        <v>23</v>
      </c>
    </row>
    <row r="149" ht="18" customHeight="1" spans="2:6" x14ac:dyDescent="0.25">
      <c r="B149" s="12" t="s">
        <v>28</v>
      </c>
      <c r="C149" s="27">
        <v>0</v>
      </c>
      <c r="D149" s="28">
        <f>C$26</f>
      </c>
      <c r="E149" s="26">
        <f>C149*D149</f>
      </c>
      <c r="F149" s="17" t="s">
        <v>23</v>
      </c>
    </row>
    <row r="150" ht="18" customHeight="1" spans="2:6" x14ac:dyDescent="0.25">
      <c r="B150" s="12" t="s">
        <v>48</v>
      </c>
      <c r="C150" s="27">
        <v>0</v>
      </c>
      <c r="D150" s="28">
        <f>C$27</f>
      </c>
      <c r="E150" s="26">
        <f>C150*D150</f>
      </c>
      <c r="F150" s="17" t="s">
        <v>23</v>
      </c>
    </row>
    <row r="151" ht="18" customHeight="1" spans="2:6" x14ac:dyDescent="0.25">
      <c r="B151" s="12" t="s">
        <v>30</v>
      </c>
      <c r="C151" s="27">
        <v>0</v>
      </c>
      <c r="D151" s="28">
        <f>C$28</f>
      </c>
      <c r="E151" s="26">
        <f>C151*D151</f>
      </c>
      <c r="F151" s="17" t="s">
        <v>23</v>
      </c>
    </row>
    <row r="152" ht="18" customHeight="1" spans="2:6" x14ac:dyDescent="0.25">
      <c r="B152" s="12" t="s">
        <v>31</v>
      </c>
      <c r="C152" s="27">
        <v>0</v>
      </c>
      <c r="D152" s="28">
        <f>C$29</f>
      </c>
      <c r="E152" s="26">
        <f>C152*D152</f>
      </c>
      <c r="F152" s="17" t="s">
        <v>23</v>
      </c>
    </row>
    <row r="153" ht="18" customHeight="1" spans="2:6" x14ac:dyDescent="0.25">
      <c r="B153" s="12" t="s">
        <v>49</v>
      </c>
      <c r="C153" s="27">
        <v>0</v>
      </c>
      <c r="D153" s="28">
        <f>C$30</f>
      </c>
      <c r="E153" s="26">
        <f>C153*D153</f>
      </c>
      <c r="F153" s="17" t="s">
        <v>23</v>
      </c>
    </row>
    <row r="154" ht="16" customHeight="1" spans="1:6" x14ac:dyDescent="0.25">
      <c r="A154" s="29" t="s">
        <v>50</v>
      </c>
      <c r="B154" s="29"/>
      <c r="C154" s="29"/>
      <c r="D154" s="29"/>
      <c r="E154" s="29"/>
      <c r="F154" s="29"/>
    </row>
    <row r="155" ht="18" customHeight="1" spans="2:6" x14ac:dyDescent="0.25">
      <c r="B155" s="12" t="s">
        <v>35</v>
      </c>
      <c r="C155" s="7">
        <v>0</v>
      </c>
      <c r="D155" s="30" t="s">
        <v>51</v>
      </c>
      <c r="E155" s="31">
        <f>C155</f>
      </c>
      <c r="F155" s="18" t="s">
        <v>34</v>
      </c>
    </row>
    <row r="156" ht="18" customHeight="1" spans="2:6" x14ac:dyDescent="0.25">
      <c r="B156" s="12" t="s">
        <v>37</v>
      </c>
      <c r="C156" s="7">
        <v>0</v>
      </c>
      <c r="D156" s="30" t="s">
        <v>51</v>
      </c>
      <c r="E156" s="31">
        <f>C156</f>
      </c>
      <c r="F156" s="18" t="s">
        <v>34</v>
      </c>
    </row>
    <row r="157" ht="18" customHeight="1" spans="2:6" x14ac:dyDescent="0.25">
      <c r="B157" s="12" t="s">
        <v>52</v>
      </c>
      <c r="C157" s="27">
        <v>0</v>
      </c>
      <c r="D157" s="28">
        <f>C$31</f>
      </c>
      <c r="E157" s="31">
        <f>C157*D157</f>
      </c>
      <c r="F157" s="18" t="s">
        <v>34</v>
      </c>
    </row>
    <row r="158" ht="3" customHeight="1" spans="1:6" x14ac:dyDescent="0.25">
      <c r="A158" s="32"/>
      <c r="B158" s="32"/>
      <c r="C158" s="32"/>
      <c r="D158" s="32"/>
      <c r="E158" s="32"/>
      <c r="F158" s="32"/>
    </row>
    <row r="159" ht="20" customHeight="1" spans="1:5" x14ac:dyDescent="0.25">
      <c r="A159" s="33" t="s">
        <v>53</v>
      </c>
      <c r="B159" s="33"/>
      <c r="C159" s="33"/>
      <c r="D159" s="33"/>
      <c r="E159" s="34">
        <f>E143+E144+E145+E146+E147+E148+E149+E150+E151+E152+E153</f>
      </c>
    </row>
    <row r="160" ht="20" customHeight="1" spans="1:5" x14ac:dyDescent="0.25">
      <c r="A160" s="35" t="s">
        <v>54</v>
      </c>
      <c r="B160" s="35"/>
      <c r="C160" s="35"/>
      <c r="D160" s="35"/>
      <c r="E160" s="31">
        <f>E155+E156+E157</f>
      </c>
    </row>
    <row r="161" ht="3" customHeight="1" spans="1:6" x14ac:dyDescent="0.25">
      <c r="A161" s="32"/>
      <c r="B161" s="32"/>
      <c r="C161" s="32"/>
      <c r="D161" s="32"/>
      <c r="E161" s="32"/>
      <c r="F161" s="32"/>
    </row>
    <row r="162" ht="20" customHeight="1" spans="1:5" x14ac:dyDescent="0.25">
      <c r="A162" s="36" t="s">
        <v>55</v>
      </c>
      <c r="B162" s="36"/>
      <c r="C162" s="36"/>
      <c r="D162" s="36"/>
      <c r="E162" s="37">
        <f>E159*C$15</f>
      </c>
    </row>
    <row r="163" ht="20" customHeight="1" spans="1:5" x14ac:dyDescent="0.25">
      <c r="A163" s="36" t="s">
        <v>61</v>
      </c>
      <c r="B163" s="36"/>
      <c r="C163" s="36"/>
      <c r="D163" s="36"/>
      <c r="E163" s="37">
        <f>E159*F141</f>
      </c>
    </row>
    <row r="164" ht="3" customHeight="1" spans="1:6" x14ac:dyDescent="0.25">
      <c r="A164" s="32"/>
      <c r="B164" s="32"/>
      <c r="C164" s="32"/>
      <c r="D164" s="32"/>
      <c r="E164" s="32"/>
      <c r="F164" s="32"/>
    </row>
    <row r="165" ht="28" customHeight="1" spans="1:6" x14ac:dyDescent="0.25">
      <c r="A165" s="38" t="s">
        <v>57</v>
      </c>
      <c r="B165" s="38"/>
      <c r="C165" s="38"/>
      <c r="D165" s="38"/>
      <c r="E165" s="39">
        <f>E159-E162-E163+E160</f>
      </c>
      <c r="F165" s="40" t="s">
        <v>58</v>
      </c>
    </row>
    <row r="166" ht="10" customHeight="1" spans="1:6" x14ac:dyDescent="0.25">
      <c r="A166" s="3"/>
      <c r="B166" s="3"/>
      <c r="C166" s="3"/>
      <c r="D166" s="3"/>
      <c r="E166" s="3"/>
      <c r="F166" s="3"/>
    </row>
    <row r="167" ht="24" customHeight="1" spans="1:6" x14ac:dyDescent="0.25">
      <c r="A167" s="4" t="s">
        <v>66</v>
      </c>
      <c r="B167" s="4"/>
      <c r="C167" s="4"/>
      <c r="D167" s="4"/>
      <c r="E167" s="22" t="s">
        <v>64</v>
      </c>
      <c r="F167" s="13">
        <f>$C$17</f>
      </c>
    </row>
    <row r="168" ht="16" customHeight="1" spans="1:6" x14ac:dyDescent="0.25">
      <c r="A168" s="23" t="s">
        <v>3</v>
      </c>
      <c r="B168" s="24" t="s">
        <v>41</v>
      </c>
      <c r="C168" s="25" t="s">
        <v>42</v>
      </c>
      <c r="D168" s="25" t="s">
        <v>43</v>
      </c>
      <c r="E168" s="25" t="s">
        <v>44</v>
      </c>
      <c r="F168" s="25" t="s">
        <v>45</v>
      </c>
    </row>
    <row r="169" ht="18" customHeight="1" spans="2:6" x14ac:dyDescent="0.25">
      <c r="B169" s="9" t="s">
        <v>46</v>
      </c>
      <c r="E169" s="26">
        <f>C$6</f>
      </c>
      <c r="F169" s="17" t="s">
        <v>23</v>
      </c>
    </row>
    <row r="170" ht="18" customHeight="1" spans="2:6" x14ac:dyDescent="0.25">
      <c r="B170" s="12" t="s">
        <v>22</v>
      </c>
      <c r="C170" s="27">
        <v>0</v>
      </c>
      <c r="D170" s="28">
        <f>C$21</f>
      </c>
      <c r="E170" s="26">
        <f>C170*D170</f>
      </c>
      <c r="F170" s="17" t="s">
        <v>23</v>
      </c>
    </row>
    <row r="171" ht="18" customHeight="1" spans="2:6" x14ac:dyDescent="0.25">
      <c r="B171" s="12" t="s">
        <v>24</v>
      </c>
      <c r="C171" s="27">
        <v>0</v>
      </c>
      <c r="D171" s="28">
        <f>C$22</f>
      </c>
      <c r="E171" s="26">
        <f>C171*D171</f>
      </c>
      <c r="F171" s="17" t="s">
        <v>23</v>
      </c>
    </row>
    <row r="172" ht="18" customHeight="1" spans="2:6" x14ac:dyDescent="0.25">
      <c r="B172" s="12" t="s">
        <v>25</v>
      </c>
      <c r="C172" s="27">
        <v>0</v>
      </c>
      <c r="D172" s="28">
        <f>C$23</f>
      </c>
      <c r="E172" s="26">
        <f>C172*D172</f>
      </c>
      <c r="F172" s="17" t="s">
        <v>23</v>
      </c>
    </row>
    <row r="173" ht="18" customHeight="1" spans="2:6" x14ac:dyDescent="0.25">
      <c r="B173" s="12" t="s">
        <v>26</v>
      </c>
      <c r="C173" s="27">
        <v>0</v>
      </c>
      <c r="D173" s="28">
        <f>C$24</f>
      </c>
      <c r="E173" s="26">
        <f>C173*D173</f>
      </c>
      <c r="F173" s="17" t="s">
        <v>23</v>
      </c>
    </row>
    <row r="174" ht="18" customHeight="1" spans="2:6" x14ac:dyDescent="0.25">
      <c r="B174" s="12" t="s">
        <v>47</v>
      </c>
      <c r="C174" s="27">
        <v>0</v>
      </c>
      <c r="D174" s="28">
        <f>C$25</f>
      </c>
      <c r="E174" s="26">
        <f>C174*D174</f>
      </c>
      <c r="F174" s="17" t="s">
        <v>23</v>
      </c>
    </row>
    <row r="175" ht="18" customHeight="1" spans="2:6" x14ac:dyDescent="0.25">
      <c r="B175" s="12" t="s">
        <v>28</v>
      </c>
      <c r="C175" s="27">
        <v>0</v>
      </c>
      <c r="D175" s="28">
        <f>C$26</f>
      </c>
      <c r="E175" s="26">
        <f>C175*D175</f>
      </c>
      <c r="F175" s="17" t="s">
        <v>23</v>
      </c>
    </row>
    <row r="176" ht="18" customHeight="1" spans="2:6" x14ac:dyDescent="0.25">
      <c r="B176" s="12" t="s">
        <v>48</v>
      </c>
      <c r="C176" s="27">
        <v>0</v>
      </c>
      <c r="D176" s="28">
        <f>C$27</f>
      </c>
      <c r="E176" s="26">
        <f>C176*D176</f>
      </c>
      <c r="F176" s="17" t="s">
        <v>23</v>
      </c>
    </row>
    <row r="177" ht="18" customHeight="1" spans="2:6" x14ac:dyDescent="0.25">
      <c r="B177" s="12" t="s">
        <v>30</v>
      </c>
      <c r="C177" s="27">
        <v>0</v>
      </c>
      <c r="D177" s="28">
        <f>C$28</f>
      </c>
      <c r="E177" s="26">
        <f>C177*D177</f>
      </c>
      <c r="F177" s="17" t="s">
        <v>23</v>
      </c>
    </row>
    <row r="178" ht="18" customHeight="1" spans="2:6" x14ac:dyDescent="0.25">
      <c r="B178" s="12" t="s">
        <v>31</v>
      </c>
      <c r="C178" s="27">
        <v>0</v>
      </c>
      <c r="D178" s="28">
        <f>C$29</f>
      </c>
      <c r="E178" s="26">
        <f>C178*D178</f>
      </c>
      <c r="F178" s="17" t="s">
        <v>23</v>
      </c>
    </row>
    <row r="179" ht="18" customHeight="1" spans="2:6" x14ac:dyDescent="0.25">
      <c r="B179" s="12" t="s">
        <v>49</v>
      </c>
      <c r="C179" s="27">
        <v>0</v>
      </c>
      <c r="D179" s="28">
        <f>C$30</f>
      </c>
      <c r="E179" s="26">
        <f>C179*D179</f>
      </c>
      <c r="F179" s="17" t="s">
        <v>23</v>
      </c>
    </row>
    <row r="180" ht="16" customHeight="1" spans="1:6" x14ac:dyDescent="0.25">
      <c r="A180" s="29" t="s">
        <v>50</v>
      </c>
      <c r="B180" s="29"/>
      <c r="C180" s="29"/>
      <c r="D180" s="29"/>
      <c r="E180" s="29"/>
      <c r="F180" s="29"/>
    </row>
    <row r="181" ht="18" customHeight="1" spans="2:6" x14ac:dyDescent="0.25">
      <c r="B181" s="12" t="s">
        <v>35</v>
      </c>
      <c r="C181" s="7">
        <v>0</v>
      </c>
      <c r="D181" s="30" t="s">
        <v>51</v>
      </c>
      <c r="E181" s="31">
        <f>C181</f>
      </c>
      <c r="F181" s="18" t="s">
        <v>34</v>
      </c>
    </row>
    <row r="182" ht="18" customHeight="1" spans="2:6" x14ac:dyDescent="0.25">
      <c r="B182" s="12" t="s">
        <v>37</v>
      </c>
      <c r="C182" s="7">
        <v>0</v>
      </c>
      <c r="D182" s="30" t="s">
        <v>51</v>
      </c>
      <c r="E182" s="31">
        <f>C182</f>
      </c>
      <c r="F182" s="18" t="s">
        <v>34</v>
      </c>
    </row>
    <row r="183" ht="18" customHeight="1" spans="2:6" x14ac:dyDescent="0.25">
      <c r="B183" s="12" t="s">
        <v>52</v>
      </c>
      <c r="C183" s="27">
        <v>0</v>
      </c>
      <c r="D183" s="28">
        <f>C$31</f>
      </c>
      <c r="E183" s="31">
        <f>C183*D183</f>
      </c>
      <c r="F183" s="18" t="s">
        <v>34</v>
      </c>
    </row>
    <row r="184" ht="3" customHeight="1" spans="1:6" x14ac:dyDescent="0.25">
      <c r="A184" s="32"/>
      <c r="B184" s="32"/>
      <c r="C184" s="32"/>
      <c r="D184" s="32"/>
      <c r="E184" s="32"/>
      <c r="F184" s="32"/>
    </row>
    <row r="185" ht="20" customHeight="1" spans="1:5" x14ac:dyDescent="0.25">
      <c r="A185" s="33" t="s">
        <v>53</v>
      </c>
      <c r="B185" s="33"/>
      <c r="C185" s="33"/>
      <c r="D185" s="33"/>
      <c r="E185" s="34">
        <f>E169+E170+E171+E172+E173+E174+E175+E176+E177+E178+E179</f>
      </c>
    </row>
    <row r="186" ht="20" customHeight="1" spans="1:5" x14ac:dyDescent="0.25">
      <c r="A186" s="35" t="s">
        <v>54</v>
      </c>
      <c r="B186" s="35"/>
      <c r="C186" s="35"/>
      <c r="D186" s="35"/>
      <c r="E186" s="31">
        <f>E181+E182+E183</f>
      </c>
    </row>
    <row r="187" ht="3" customHeight="1" spans="1:6" x14ac:dyDescent="0.25">
      <c r="A187" s="32"/>
      <c r="B187" s="32"/>
      <c r="C187" s="32"/>
      <c r="D187" s="32"/>
      <c r="E187" s="32"/>
      <c r="F187" s="32"/>
    </row>
    <row r="188" ht="20" customHeight="1" spans="1:5" x14ac:dyDescent="0.25">
      <c r="A188" s="36" t="s">
        <v>55</v>
      </c>
      <c r="B188" s="36"/>
      <c r="C188" s="36"/>
      <c r="D188" s="36"/>
      <c r="E188" s="37">
        <f>E185*C$15</f>
      </c>
    </row>
    <row r="189" ht="20" customHeight="1" spans="1:5" x14ac:dyDescent="0.25">
      <c r="A189" s="36" t="s">
        <v>61</v>
      </c>
      <c r="B189" s="36"/>
      <c r="C189" s="36"/>
      <c r="D189" s="36"/>
      <c r="E189" s="37">
        <f>E185*F167</f>
      </c>
    </row>
    <row r="190" ht="3" customHeight="1" spans="1:6" x14ac:dyDescent="0.25">
      <c r="A190" s="32"/>
      <c r="B190" s="32"/>
      <c r="C190" s="32"/>
      <c r="D190" s="32"/>
      <c r="E190" s="32"/>
      <c r="F190" s="32"/>
    </row>
    <row r="191" ht="28" customHeight="1" spans="1:6" x14ac:dyDescent="0.25">
      <c r="A191" s="38" t="s">
        <v>57</v>
      </c>
      <c r="B191" s="38"/>
      <c r="C191" s="38"/>
      <c r="D191" s="38"/>
      <c r="E191" s="39">
        <f>E185-E188-E189+E186</f>
      </c>
      <c r="F191" s="40" t="s">
        <v>58</v>
      </c>
    </row>
    <row r="192" ht="10" customHeight="1" spans="1:6" x14ac:dyDescent="0.25">
      <c r="A192" s="3"/>
      <c r="B192" s="3"/>
      <c r="C192" s="3"/>
      <c r="D192" s="3"/>
      <c r="E192" s="3"/>
      <c r="F192" s="3"/>
    </row>
    <row r="193" ht="24" customHeight="1" spans="1:6" x14ac:dyDescent="0.25">
      <c r="A193" s="4" t="s">
        <v>67</v>
      </c>
      <c r="B193" s="4"/>
      <c r="C193" s="4"/>
      <c r="D193" s="4"/>
      <c r="E193" s="22" t="s">
        <v>40</v>
      </c>
      <c r="F193" s="13">
        <f>$C$17</f>
      </c>
    </row>
    <row r="194" ht="16" customHeight="1" spans="1:6" x14ac:dyDescent="0.25">
      <c r="A194" s="23" t="s">
        <v>3</v>
      </c>
      <c r="B194" s="24" t="s">
        <v>41</v>
      </c>
      <c r="C194" s="25" t="s">
        <v>42</v>
      </c>
      <c r="D194" s="25" t="s">
        <v>43</v>
      </c>
      <c r="E194" s="25" t="s">
        <v>44</v>
      </c>
      <c r="F194" s="25" t="s">
        <v>45</v>
      </c>
    </row>
    <row r="195" ht="18" customHeight="1" spans="2:6" x14ac:dyDescent="0.25">
      <c r="B195" s="9" t="s">
        <v>46</v>
      </c>
      <c r="E195" s="26">
        <f>C$6</f>
      </c>
      <c r="F195" s="17" t="s">
        <v>23</v>
      </c>
    </row>
    <row r="196" ht="18" customHeight="1" spans="2:6" x14ac:dyDescent="0.25">
      <c r="B196" s="12" t="s">
        <v>22</v>
      </c>
      <c r="C196" s="27">
        <v>0</v>
      </c>
      <c r="D196" s="28">
        <f>C$21</f>
      </c>
      <c r="E196" s="26">
        <f>C196*D196</f>
      </c>
      <c r="F196" s="17" t="s">
        <v>23</v>
      </c>
    </row>
    <row r="197" ht="18" customHeight="1" spans="2:6" x14ac:dyDescent="0.25">
      <c r="B197" s="12" t="s">
        <v>24</v>
      </c>
      <c r="C197" s="27">
        <v>0</v>
      </c>
      <c r="D197" s="28">
        <f>C$22</f>
      </c>
      <c r="E197" s="26">
        <f>C197*D197</f>
      </c>
      <c r="F197" s="17" t="s">
        <v>23</v>
      </c>
    </row>
    <row r="198" ht="18" customHeight="1" spans="2:6" x14ac:dyDescent="0.25">
      <c r="B198" s="12" t="s">
        <v>25</v>
      </c>
      <c r="C198" s="27">
        <v>0</v>
      </c>
      <c r="D198" s="28">
        <f>C$23</f>
      </c>
      <c r="E198" s="26">
        <f>C198*D198</f>
      </c>
      <c r="F198" s="17" t="s">
        <v>23</v>
      </c>
    </row>
    <row r="199" ht="18" customHeight="1" spans="2:6" x14ac:dyDescent="0.25">
      <c r="B199" s="12" t="s">
        <v>26</v>
      </c>
      <c r="C199" s="27">
        <v>0</v>
      </c>
      <c r="D199" s="28">
        <f>C$24</f>
      </c>
      <c r="E199" s="26">
        <f>C199*D199</f>
      </c>
      <c r="F199" s="17" t="s">
        <v>23</v>
      </c>
    </row>
    <row r="200" ht="18" customHeight="1" spans="2:6" x14ac:dyDescent="0.25">
      <c r="B200" s="12" t="s">
        <v>47</v>
      </c>
      <c r="C200" s="27">
        <v>0</v>
      </c>
      <c r="D200" s="28">
        <f>C$25</f>
      </c>
      <c r="E200" s="26">
        <f>C200*D200</f>
      </c>
      <c r="F200" s="17" t="s">
        <v>23</v>
      </c>
    </row>
    <row r="201" ht="18" customHeight="1" spans="2:6" x14ac:dyDescent="0.25">
      <c r="B201" s="12" t="s">
        <v>28</v>
      </c>
      <c r="C201" s="27">
        <v>0</v>
      </c>
      <c r="D201" s="28">
        <f>C$26</f>
      </c>
      <c r="E201" s="26">
        <f>C201*D201</f>
      </c>
      <c r="F201" s="17" t="s">
        <v>23</v>
      </c>
    </row>
    <row r="202" ht="18" customHeight="1" spans="2:6" x14ac:dyDescent="0.25">
      <c r="B202" s="12" t="s">
        <v>48</v>
      </c>
      <c r="C202" s="27">
        <v>0</v>
      </c>
      <c r="D202" s="28">
        <f>C$27</f>
      </c>
      <c r="E202" s="26">
        <f>C202*D202</f>
      </c>
      <c r="F202" s="17" t="s">
        <v>23</v>
      </c>
    </row>
    <row r="203" ht="18" customHeight="1" spans="2:6" x14ac:dyDescent="0.25">
      <c r="B203" s="12" t="s">
        <v>30</v>
      </c>
      <c r="C203" s="27">
        <v>0</v>
      </c>
      <c r="D203" s="28">
        <f>C$28</f>
      </c>
      <c r="E203" s="26">
        <f>C203*D203</f>
      </c>
      <c r="F203" s="17" t="s">
        <v>23</v>
      </c>
    </row>
    <row r="204" ht="18" customHeight="1" spans="2:6" x14ac:dyDescent="0.25">
      <c r="B204" s="12" t="s">
        <v>31</v>
      </c>
      <c r="C204" s="27">
        <v>0</v>
      </c>
      <c r="D204" s="28">
        <f>C$29</f>
      </c>
      <c r="E204" s="26">
        <f>C204*D204</f>
      </c>
      <c r="F204" s="17" t="s">
        <v>23</v>
      </c>
    </row>
    <row r="205" ht="18" customHeight="1" spans="2:6" x14ac:dyDescent="0.25">
      <c r="B205" s="12" t="s">
        <v>49</v>
      </c>
      <c r="C205" s="27">
        <v>0</v>
      </c>
      <c r="D205" s="28">
        <f>C$30</f>
      </c>
      <c r="E205" s="26">
        <f>C205*D205</f>
      </c>
      <c r="F205" s="17" t="s">
        <v>23</v>
      </c>
    </row>
    <row r="206" ht="16" customHeight="1" spans="1:6" x14ac:dyDescent="0.25">
      <c r="A206" s="29" t="s">
        <v>50</v>
      </c>
      <c r="B206" s="29"/>
      <c r="C206" s="29"/>
      <c r="D206" s="29"/>
      <c r="E206" s="29"/>
      <c r="F206" s="29"/>
    </row>
    <row r="207" ht="18" customHeight="1" spans="2:6" x14ac:dyDescent="0.25">
      <c r="B207" s="12" t="s">
        <v>35</v>
      </c>
      <c r="C207" s="7">
        <v>0</v>
      </c>
      <c r="D207" s="30" t="s">
        <v>51</v>
      </c>
      <c r="E207" s="31">
        <f>C207</f>
      </c>
      <c r="F207" s="18" t="s">
        <v>34</v>
      </c>
    </row>
    <row r="208" ht="18" customHeight="1" spans="2:6" x14ac:dyDescent="0.25">
      <c r="B208" s="12" t="s">
        <v>37</v>
      </c>
      <c r="C208" s="7">
        <v>0</v>
      </c>
      <c r="D208" s="30" t="s">
        <v>51</v>
      </c>
      <c r="E208" s="31">
        <f>C208</f>
      </c>
      <c r="F208" s="18" t="s">
        <v>34</v>
      </c>
    </row>
    <row r="209" ht="18" customHeight="1" spans="2:6" x14ac:dyDescent="0.25">
      <c r="B209" s="12" t="s">
        <v>52</v>
      </c>
      <c r="C209" s="27">
        <v>0</v>
      </c>
      <c r="D209" s="28">
        <f>C$31</f>
      </c>
      <c r="E209" s="31">
        <f>C209*D209</f>
      </c>
      <c r="F209" s="18" t="s">
        <v>34</v>
      </c>
    </row>
    <row r="210" ht="3" customHeight="1" spans="1:6" x14ac:dyDescent="0.25">
      <c r="A210" s="32"/>
      <c r="B210" s="32"/>
      <c r="C210" s="32"/>
      <c r="D210" s="32"/>
      <c r="E210" s="32"/>
      <c r="F210" s="32"/>
    </row>
    <row r="211" ht="20" customHeight="1" spans="1:5" x14ac:dyDescent="0.25">
      <c r="A211" s="33" t="s">
        <v>53</v>
      </c>
      <c r="B211" s="33"/>
      <c r="C211" s="33"/>
      <c r="D211" s="33"/>
      <c r="E211" s="34">
        <f>E195+E196+E197+E198+E199+E200+E201+E202+E203+E204+E205</f>
      </c>
    </row>
    <row r="212" ht="20" customHeight="1" spans="1:5" x14ac:dyDescent="0.25">
      <c r="A212" s="35" t="s">
        <v>54</v>
      </c>
      <c r="B212" s="35"/>
      <c r="C212" s="35"/>
      <c r="D212" s="35"/>
      <c r="E212" s="31">
        <f>E207+E208+E209</f>
      </c>
    </row>
    <row r="213" ht="3" customHeight="1" spans="1:6" x14ac:dyDescent="0.25">
      <c r="A213" s="32"/>
      <c r="B213" s="32"/>
      <c r="C213" s="32"/>
      <c r="D213" s="32"/>
      <c r="E213" s="32"/>
      <c r="F213" s="32"/>
    </row>
    <row r="214" ht="20" customHeight="1" spans="1:5" x14ac:dyDescent="0.25">
      <c r="A214" s="36" t="s">
        <v>55</v>
      </c>
      <c r="B214" s="36"/>
      <c r="C214" s="36"/>
      <c r="D214" s="36"/>
      <c r="E214" s="37">
        <f>E211*C$15</f>
      </c>
    </row>
    <row r="215" ht="20" customHeight="1" spans="1:5" x14ac:dyDescent="0.25">
      <c r="A215" s="36" t="s">
        <v>61</v>
      </c>
      <c r="B215" s="36"/>
      <c r="C215" s="36"/>
      <c r="D215" s="36"/>
      <c r="E215" s="37">
        <f>E211*F193</f>
      </c>
    </row>
    <row r="216" ht="3" customHeight="1" spans="1:6" x14ac:dyDescent="0.25">
      <c r="A216" s="32"/>
      <c r="B216" s="32"/>
      <c r="C216" s="32"/>
      <c r="D216" s="32"/>
      <c r="E216" s="32"/>
      <c r="F216" s="32"/>
    </row>
    <row r="217" ht="28" customHeight="1" spans="1:6" x14ac:dyDescent="0.25">
      <c r="A217" s="38" t="s">
        <v>57</v>
      </c>
      <c r="B217" s="38"/>
      <c r="C217" s="38"/>
      <c r="D217" s="38"/>
      <c r="E217" s="39">
        <f>E211-E214-E215+E212</f>
      </c>
      <c r="F217" s="40" t="s">
        <v>58</v>
      </c>
    </row>
    <row r="218" ht="10" customHeight="1" spans="1:6" x14ac:dyDescent="0.25">
      <c r="A218" s="3"/>
      <c r="B218" s="3"/>
      <c r="C218" s="3"/>
      <c r="D218" s="3"/>
      <c r="E218" s="3"/>
      <c r="F218" s="3"/>
    </row>
    <row r="219" ht="24" customHeight="1" spans="1:6" x14ac:dyDescent="0.25">
      <c r="A219" s="4" t="s">
        <v>68</v>
      </c>
      <c r="B219" s="4"/>
      <c r="C219" s="4"/>
      <c r="D219" s="4"/>
      <c r="E219" s="22" t="s">
        <v>40</v>
      </c>
      <c r="F219" s="13">
        <f>$C$17</f>
      </c>
    </row>
    <row r="220" ht="16" customHeight="1" spans="1:6" x14ac:dyDescent="0.25">
      <c r="A220" s="23" t="s">
        <v>3</v>
      </c>
      <c r="B220" s="24" t="s">
        <v>41</v>
      </c>
      <c r="C220" s="25" t="s">
        <v>42</v>
      </c>
      <c r="D220" s="25" t="s">
        <v>43</v>
      </c>
      <c r="E220" s="25" t="s">
        <v>44</v>
      </c>
      <c r="F220" s="25" t="s">
        <v>45</v>
      </c>
    </row>
    <row r="221" ht="18" customHeight="1" spans="2:6" x14ac:dyDescent="0.25">
      <c r="B221" s="9" t="s">
        <v>46</v>
      </c>
      <c r="E221" s="26">
        <f>C$6</f>
      </c>
      <c r="F221" s="17" t="s">
        <v>23</v>
      </c>
    </row>
    <row r="222" ht="18" customHeight="1" spans="2:6" x14ac:dyDescent="0.25">
      <c r="B222" s="12" t="s">
        <v>22</v>
      </c>
      <c r="C222" s="27">
        <v>0</v>
      </c>
      <c r="D222" s="28">
        <f>C$21</f>
      </c>
      <c r="E222" s="26">
        <f>C222*D222</f>
      </c>
      <c r="F222" s="17" t="s">
        <v>23</v>
      </c>
    </row>
    <row r="223" ht="18" customHeight="1" spans="2:6" x14ac:dyDescent="0.25">
      <c r="B223" s="12" t="s">
        <v>24</v>
      </c>
      <c r="C223" s="27">
        <v>0</v>
      </c>
      <c r="D223" s="28">
        <f>C$22</f>
      </c>
      <c r="E223" s="26">
        <f>C223*D223</f>
      </c>
      <c r="F223" s="17" t="s">
        <v>23</v>
      </c>
    </row>
    <row r="224" ht="18" customHeight="1" spans="2:6" x14ac:dyDescent="0.25">
      <c r="B224" s="12" t="s">
        <v>25</v>
      </c>
      <c r="C224" s="27">
        <v>0</v>
      </c>
      <c r="D224" s="28">
        <f>C$23</f>
      </c>
      <c r="E224" s="26">
        <f>C224*D224</f>
      </c>
      <c r="F224" s="17" t="s">
        <v>23</v>
      </c>
    </row>
    <row r="225" ht="18" customHeight="1" spans="2:6" x14ac:dyDescent="0.25">
      <c r="B225" s="12" t="s">
        <v>26</v>
      </c>
      <c r="C225" s="27">
        <v>0</v>
      </c>
      <c r="D225" s="28">
        <f>C$24</f>
      </c>
      <c r="E225" s="26">
        <f>C225*D225</f>
      </c>
      <c r="F225" s="17" t="s">
        <v>23</v>
      </c>
    </row>
    <row r="226" ht="18" customHeight="1" spans="2:6" x14ac:dyDescent="0.25">
      <c r="B226" s="12" t="s">
        <v>47</v>
      </c>
      <c r="C226" s="27">
        <v>0</v>
      </c>
      <c r="D226" s="28">
        <f>C$25</f>
      </c>
      <c r="E226" s="26">
        <f>C226*D226</f>
      </c>
      <c r="F226" s="17" t="s">
        <v>23</v>
      </c>
    </row>
    <row r="227" ht="18" customHeight="1" spans="2:6" x14ac:dyDescent="0.25">
      <c r="B227" s="12" t="s">
        <v>28</v>
      </c>
      <c r="C227" s="27">
        <v>0</v>
      </c>
      <c r="D227" s="28">
        <f>C$26</f>
      </c>
      <c r="E227" s="26">
        <f>C227*D227</f>
      </c>
      <c r="F227" s="17" t="s">
        <v>23</v>
      </c>
    </row>
    <row r="228" ht="18" customHeight="1" spans="2:6" x14ac:dyDescent="0.25">
      <c r="B228" s="12" t="s">
        <v>48</v>
      </c>
      <c r="C228" s="27">
        <v>0</v>
      </c>
      <c r="D228" s="28">
        <f>C$27</f>
      </c>
      <c r="E228" s="26">
        <f>C228*D228</f>
      </c>
      <c r="F228" s="17" t="s">
        <v>23</v>
      </c>
    </row>
    <row r="229" ht="18" customHeight="1" spans="2:6" x14ac:dyDescent="0.25">
      <c r="B229" s="12" t="s">
        <v>30</v>
      </c>
      <c r="C229" s="27">
        <v>0</v>
      </c>
      <c r="D229" s="28">
        <f>C$28</f>
      </c>
      <c r="E229" s="26">
        <f>C229*D229</f>
      </c>
      <c r="F229" s="17" t="s">
        <v>23</v>
      </c>
    </row>
    <row r="230" ht="18" customHeight="1" spans="2:6" x14ac:dyDescent="0.25">
      <c r="B230" s="12" t="s">
        <v>31</v>
      </c>
      <c r="C230" s="27">
        <v>0</v>
      </c>
      <c r="D230" s="28">
        <f>C$29</f>
      </c>
      <c r="E230" s="26">
        <f>C230*D230</f>
      </c>
      <c r="F230" s="17" t="s">
        <v>23</v>
      </c>
    </row>
    <row r="231" ht="18" customHeight="1" spans="2:6" x14ac:dyDescent="0.25">
      <c r="B231" s="12" t="s">
        <v>49</v>
      </c>
      <c r="C231" s="27">
        <v>0</v>
      </c>
      <c r="D231" s="28">
        <f>C$30</f>
      </c>
      <c r="E231" s="26">
        <f>C231*D231</f>
      </c>
      <c r="F231" s="17" t="s">
        <v>23</v>
      </c>
    </row>
    <row r="232" ht="16" customHeight="1" spans="1:6" x14ac:dyDescent="0.25">
      <c r="A232" s="29" t="s">
        <v>50</v>
      </c>
      <c r="B232" s="29"/>
      <c r="C232" s="29"/>
      <c r="D232" s="29"/>
      <c r="E232" s="29"/>
      <c r="F232" s="29"/>
    </row>
    <row r="233" ht="18" customHeight="1" spans="2:6" x14ac:dyDescent="0.25">
      <c r="B233" s="12" t="s">
        <v>35</v>
      </c>
      <c r="C233" s="7">
        <v>0</v>
      </c>
      <c r="D233" s="30" t="s">
        <v>51</v>
      </c>
      <c r="E233" s="31">
        <f>C233</f>
      </c>
      <c r="F233" s="18" t="s">
        <v>34</v>
      </c>
    </row>
    <row r="234" ht="18" customHeight="1" spans="2:6" x14ac:dyDescent="0.25">
      <c r="B234" s="12" t="s">
        <v>37</v>
      </c>
      <c r="C234" s="7">
        <v>0</v>
      </c>
      <c r="D234" s="30" t="s">
        <v>51</v>
      </c>
      <c r="E234" s="31">
        <f>C234</f>
      </c>
      <c r="F234" s="18" t="s">
        <v>34</v>
      </c>
    </row>
    <row r="235" ht="18" customHeight="1" spans="2:6" x14ac:dyDescent="0.25">
      <c r="B235" s="12" t="s">
        <v>52</v>
      </c>
      <c r="C235" s="27">
        <v>0</v>
      </c>
      <c r="D235" s="28">
        <f>C$31</f>
      </c>
      <c r="E235" s="31">
        <f>C235*D235</f>
      </c>
      <c r="F235" s="18" t="s">
        <v>34</v>
      </c>
    </row>
    <row r="236" ht="3" customHeight="1" spans="1:6" x14ac:dyDescent="0.25">
      <c r="A236" s="32"/>
      <c r="B236" s="32"/>
      <c r="C236" s="32"/>
      <c r="D236" s="32"/>
      <c r="E236" s="32"/>
      <c r="F236" s="32"/>
    </row>
    <row r="237" ht="20" customHeight="1" spans="1:5" x14ac:dyDescent="0.25">
      <c r="A237" s="33" t="s">
        <v>53</v>
      </c>
      <c r="B237" s="33"/>
      <c r="C237" s="33"/>
      <c r="D237" s="33"/>
      <c r="E237" s="34">
        <f>E221+E222+E223+E224+E225+E226+E227+E228+E229+E230+E231</f>
      </c>
    </row>
    <row r="238" ht="20" customHeight="1" spans="1:5" x14ac:dyDescent="0.25">
      <c r="A238" s="35" t="s">
        <v>54</v>
      </c>
      <c r="B238" s="35"/>
      <c r="C238" s="35"/>
      <c r="D238" s="35"/>
      <c r="E238" s="31">
        <f>E233+E234+E235</f>
      </c>
    </row>
    <row r="239" ht="3" customHeight="1" spans="1:6" x14ac:dyDescent="0.25">
      <c r="A239" s="32"/>
      <c r="B239" s="32"/>
      <c r="C239" s="32"/>
      <c r="D239" s="32"/>
      <c r="E239" s="32"/>
      <c r="F239" s="32"/>
    </row>
    <row r="240" ht="20" customHeight="1" spans="1:5" x14ac:dyDescent="0.25">
      <c r="A240" s="36" t="s">
        <v>55</v>
      </c>
      <c r="B240" s="36"/>
      <c r="C240" s="36"/>
      <c r="D240" s="36"/>
      <c r="E240" s="37">
        <f>E237*C$15</f>
      </c>
    </row>
    <row r="241" ht="20" customHeight="1" spans="1:5" x14ac:dyDescent="0.25">
      <c r="A241" s="36" t="s">
        <v>61</v>
      </c>
      <c r="B241" s="36"/>
      <c r="C241" s="36"/>
      <c r="D241" s="36"/>
      <c r="E241" s="37">
        <f>E237*F219</f>
      </c>
    </row>
    <row r="242" ht="3" customHeight="1" spans="1:6" x14ac:dyDescent="0.25">
      <c r="A242" s="32"/>
      <c r="B242" s="32"/>
      <c r="C242" s="32"/>
      <c r="D242" s="32"/>
      <c r="E242" s="32"/>
      <c r="F242" s="32"/>
    </row>
    <row r="243" ht="28" customHeight="1" spans="1:6" x14ac:dyDescent="0.25">
      <c r="A243" s="38" t="s">
        <v>57</v>
      </c>
      <c r="B243" s="38"/>
      <c r="C243" s="38"/>
      <c r="D243" s="38"/>
      <c r="E243" s="39">
        <f>E237-E240-E241+E238</f>
      </c>
      <c r="F243" s="40" t="s">
        <v>58</v>
      </c>
    </row>
    <row r="244" ht="10" customHeight="1" spans="1:6" x14ac:dyDescent="0.25">
      <c r="A244" s="3"/>
      <c r="B244" s="3"/>
      <c r="C244" s="3"/>
      <c r="D244" s="3"/>
      <c r="E244" s="3"/>
      <c r="F244" s="3"/>
    </row>
    <row r="245" ht="24" customHeight="1" spans="1:6" x14ac:dyDescent="0.25">
      <c r="A245" s="4" t="s">
        <v>69</v>
      </c>
      <c r="B245" s="4"/>
      <c r="C245" s="4"/>
      <c r="D245" s="4"/>
      <c r="E245" s="22" t="s">
        <v>64</v>
      </c>
      <c r="F245" s="13">
        <f>$C$17</f>
      </c>
    </row>
    <row r="246" ht="16" customHeight="1" spans="1:6" x14ac:dyDescent="0.25">
      <c r="A246" s="23" t="s">
        <v>3</v>
      </c>
      <c r="B246" s="24" t="s">
        <v>41</v>
      </c>
      <c r="C246" s="25" t="s">
        <v>42</v>
      </c>
      <c r="D246" s="25" t="s">
        <v>43</v>
      </c>
      <c r="E246" s="25" t="s">
        <v>44</v>
      </c>
      <c r="F246" s="25" t="s">
        <v>45</v>
      </c>
    </row>
    <row r="247" ht="18" customHeight="1" spans="2:6" x14ac:dyDescent="0.25">
      <c r="B247" s="9" t="s">
        <v>46</v>
      </c>
      <c r="E247" s="26">
        <f>C$6</f>
      </c>
      <c r="F247" s="17" t="s">
        <v>23</v>
      </c>
    </row>
    <row r="248" ht="18" customHeight="1" spans="2:6" x14ac:dyDescent="0.25">
      <c r="B248" s="12" t="s">
        <v>22</v>
      </c>
      <c r="C248" s="27">
        <v>0</v>
      </c>
      <c r="D248" s="28">
        <f>C$21</f>
      </c>
      <c r="E248" s="26">
        <f>C248*D248</f>
      </c>
      <c r="F248" s="17" t="s">
        <v>23</v>
      </c>
    </row>
    <row r="249" ht="18" customHeight="1" spans="2:6" x14ac:dyDescent="0.25">
      <c r="B249" s="12" t="s">
        <v>24</v>
      </c>
      <c r="C249" s="27">
        <v>0</v>
      </c>
      <c r="D249" s="28">
        <f>C$22</f>
      </c>
      <c r="E249" s="26">
        <f>C249*D249</f>
      </c>
      <c r="F249" s="17" t="s">
        <v>23</v>
      </c>
    </row>
    <row r="250" ht="18" customHeight="1" spans="2:6" x14ac:dyDescent="0.25">
      <c r="B250" s="12" t="s">
        <v>25</v>
      </c>
      <c r="C250" s="27">
        <v>0</v>
      </c>
      <c r="D250" s="28">
        <f>C$23</f>
      </c>
      <c r="E250" s="26">
        <f>C250*D250</f>
      </c>
      <c r="F250" s="17" t="s">
        <v>23</v>
      </c>
    </row>
    <row r="251" ht="18" customHeight="1" spans="2:6" x14ac:dyDescent="0.25">
      <c r="B251" s="12" t="s">
        <v>26</v>
      </c>
      <c r="C251" s="27">
        <v>0</v>
      </c>
      <c r="D251" s="28">
        <f>C$24</f>
      </c>
      <c r="E251" s="26">
        <f>C251*D251</f>
      </c>
      <c r="F251" s="17" t="s">
        <v>23</v>
      </c>
    </row>
    <row r="252" ht="18" customHeight="1" spans="2:6" x14ac:dyDescent="0.25">
      <c r="B252" s="12" t="s">
        <v>47</v>
      </c>
      <c r="C252" s="27">
        <v>0</v>
      </c>
      <c r="D252" s="28">
        <f>C$25</f>
      </c>
      <c r="E252" s="26">
        <f>C252*D252</f>
      </c>
      <c r="F252" s="17" t="s">
        <v>23</v>
      </c>
    </row>
    <row r="253" ht="18" customHeight="1" spans="2:6" x14ac:dyDescent="0.25">
      <c r="B253" s="12" t="s">
        <v>28</v>
      </c>
      <c r="C253" s="27">
        <v>0</v>
      </c>
      <c r="D253" s="28">
        <f>C$26</f>
      </c>
      <c r="E253" s="26">
        <f>C253*D253</f>
      </c>
      <c r="F253" s="17" t="s">
        <v>23</v>
      </c>
    </row>
    <row r="254" ht="18" customHeight="1" spans="2:6" x14ac:dyDescent="0.25">
      <c r="B254" s="12" t="s">
        <v>48</v>
      </c>
      <c r="C254" s="27">
        <v>0</v>
      </c>
      <c r="D254" s="28">
        <f>C$27</f>
      </c>
      <c r="E254" s="26">
        <f>C254*D254</f>
      </c>
      <c r="F254" s="17" t="s">
        <v>23</v>
      </c>
    </row>
    <row r="255" ht="18" customHeight="1" spans="2:6" x14ac:dyDescent="0.25">
      <c r="B255" s="12" t="s">
        <v>30</v>
      </c>
      <c r="C255" s="27">
        <v>0</v>
      </c>
      <c r="D255" s="28">
        <f>C$28</f>
      </c>
      <c r="E255" s="26">
        <f>C255*D255</f>
      </c>
      <c r="F255" s="17" t="s">
        <v>23</v>
      </c>
    </row>
    <row r="256" ht="18" customHeight="1" spans="2:6" x14ac:dyDescent="0.25">
      <c r="B256" s="12" t="s">
        <v>31</v>
      </c>
      <c r="C256" s="27">
        <v>0</v>
      </c>
      <c r="D256" s="28">
        <f>C$29</f>
      </c>
      <c r="E256" s="26">
        <f>C256*D256</f>
      </c>
      <c r="F256" s="17" t="s">
        <v>23</v>
      </c>
    </row>
    <row r="257" ht="18" customHeight="1" spans="2:6" x14ac:dyDescent="0.25">
      <c r="B257" s="12" t="s">
        <v>49</v>
      </c>
      <c r="C257" s="27">
        <v>0</v>
      </c>
      <c r="D257" s="28">
        <f>C$30</f>
      </c>
      <c r="E257" s="26">
        <f>C257*D257</f>
      </c>
      <c r="F257" s="17" t="s">
        <v>23</v>
      </c>
    </row>
    <row r="258" ht="16" customHeight="1" spans="1:6" x14ac:dyDescent="0.25">
      <c r="A258" s="29" t="s">
        <v>50</v>
      </c>
      <c r="B258" s="29"/>
      <c r="C258" s="29"/>
      <c r="D258" s="29"/>
      <c r="E258" s="29"/>
      <c r="F258" s="29"/>
    </row>
    <row r="259" ht="18" customHeight="1" spans="2:6" x14ac:dyDescent="0.25">
      <c r="B259" s="12" t="s">
        <v>35</v>
      </c>
      <c r="C259" s="7">
        <v>0</v>
      </c>
      <c r="D259" s="30" t="s">
        <v>51</v>
      </c>
      <c r="E259" s="31">
        <f>C259</f>
      </c>
      <c r="F259" s="18" t="s">
        <v>34</v>
      </c>
    </row>
    <row r="260" ht="18" customHeight="1" spans="2:6" x14ac:dyDescent="0.25">
      <c r="B260" s="12" t="s">
        <v>37</v>
      </c>
      <c r="C260" s="7">
        <v>0</v>
      </c>
      <c r="D260" s="30" t="s">
        <v>51</v>
      </c>
      <c r="E260" s="31">
        <f>C260</f>
      </c>
      <c r="F260" s="18" t="s">
        <v>34</v>
      </c>
    </row>
    <row r="261" ht="18" customHeight="1" spans="2:6" x14ac:dyDescent="0.25">
      <c r="B261" s="12" t="s">
        <v>52</v>
      </c>
      <c r="C261" s="27">
        <v>0</v>
      </c>
      <c r="D261" s="28">
        <f>C$31</f>
      </c>
      <c r="E261" s="31">
        <f>C261*D261</f>
      </c>
      <c r="F261" s="18" t="s">
        <v>34</v>
      </c>
    </row>
    <row r="262" ht="3" customHeight="1" spans="1:6" x14ac:dyDescent="0.25">
      <c r="A262" s="32"/>
      <c r="B262" s="32"/>
      <c r="C262" s="32"/>
      <c r="D262" s="32"/>
      <c r="E262" s="32"/>
      <c r="F262" s="32"/>
    </row>
    <row r="263" ht="20" customHeight="1" spans="1:5" x14ac:dyDescent="0.25">
      <c r="A263" s="33" t="s">
        <v>53</v>
      </c>
      <c r="B263" s="33"/>
      <c r="C263" s="33"/>
      <c r="D263" s="33"/>
      <c r="E263" s="34">
        <f>E247+E248+E249+E250+E251+E252+E253+E254+E255+E256+E257</f>
      </c>
    </row>
    <row r="264" ht="20" customHeight="1" spans="1:5" x14ac:dyDescent="0.25">
      <c r="A264" s="35" t="s">
        <v>54</v>
      </c>
      <c r="B264" s="35"/>
      <c r="C264" s="35"/>
      <c r="D264" s="35"/>
      <c r="E264" s="31">
        <f>E259+E260+E261</f>
      </c>
    </row>
    <row r="265" ht="3" customHeight="1" spans="1:6" x14ac:dyDescent="0.25">
      <c r="A265" s="32"/>
      <c r="B265" s="32"/>
      <c r="C265" s="32"/>
      <c r="D265" s="32"/>
      <c r="E265" s="32"/>
      <c r="F265" s="32"/>
    </row>
    <row r="266" ht="20" customHeight="1" spans="1:5" x14ac:dyDescent="0.25">
      <c r="A266" s="36" t="s">
        <v>55</v>
      </c>
      <c r="B266" s="36"/>
      <c r="C266" s="36"/>
      <c r="D266" s="36"/>
      <c r="E266" s="37">
        <f>E263*C$15</f>
      </c>
    </row>
    <row r="267" ht="20" customHeight="1" spans="1:5" x14ac:dyDescent="0.25">
      <c r="A267" s="36" t="s">
        <v>61</v>
      </c>
      <c r="B267" s="36"/>
      <c r="C267" s="36"/>
      <c r="D267" s="36"/>
      <c r="E267" s="37">
        <f>E263*F245</f>
      </c>
    </row>
    <row r="268" ht="3" customHeight="1" spans="1:6" x14ac:dyDescent="0.25">
      <c r="A268" s="32"/>
      <c r="B268" s="32"/>
      <c r="C268" s="32"/>
      <c r="D268" s="32"/>
      <c r="E268" s="32"/>
      <c r="F268" s="32"/>
    </row>
    <row r="269" ht="28" customHeight="1" spans="1:6" x14ac:dyDescent="0.25">
      <c r="A269" s="38" t="s">
        <v>57</v>
      </c>
      <c r="B269" s="38"/>
      <c r="C269" s="38"/>
      <c r="D269" s="38"/>
      <c r="E269" s="39">
        <f>E263-E266-E267+E264</f>
      </c>
      <c r="F269" s="40" t="s">
        <v>58</v>
      </c>
    </row>
    <row r="270" ht="10" customHeight="1" spans="1:6" x14ac:dyDescent="0.25">
      <c r="A270" s="3"/>
      <c r="B270" s="3"/>
      <c r="C270" s="3"/>
      <c r="D270" s="3"/>
      <c r="E270" s="3"/>
      <c r="F270" s="3"/>
    </row>
    <row r="271" ht="24" customHeight="1" spans="1:6" x14ac:dyDescent="0.25">
      <c r="A271" s="4" t="s">
        <v>70</v>
      </c>
      <c r="B271" s="4"/>
      <c r="C271" s="4"/>
      <c r="D271" s="4"/>
      <c r="E271" s="22" t="s">
        <v>40</v>
      </c>
      <c r="F271" s="13">
        <f>$C$17</f>
      </c>
    </row>
    <row r="272" ht="16" customHeight="1" spans="1:6" x14ac:dyDescent="0.25">
      <c r="A272" s="23" t="s">
        <v>3</v>
      </c>
      <c r="B272" s="24" t="s">
        <v>41</v>
      </c>
      <c r="C272" s="25" t="s">
        <v>42</v>
      </c>
      <c r="D272" s="25" t="s">
        <v>43</v>
      </c>
      <c r="E272" s="25" t="s">
        <v>44</v>
      </c>
      <c r="F272" s="25" t="s">
        <v>45</v>
      </c>
    </row>
    <row r="273" ht="18" customHeight="1" spans="2:6" x14ac:dyDescent="0.25">
      <c r="B273" s="9" t="s">
        <v>46</v>
      </c>
      <c r="E273" s="26">
        <f>C$6</f>
      </c>
      <c r="F273" s="17" t="s">
        <v>23</v>
      </c>
    </row>
    <row r="274" ht="18" customHeight="1" spans="2:6" x14ac:dyDescent="0.25">
      <c r="B274" s="12" t="s">
        <v>22</v>
      </c>
      <c r="C274" s="27">
        <v>0</v>
      </c>
      <c r="D274" s="28">
        <f>C$21</f>
      </c>
      <c r="E274" s="26">
        <f>C274*D274</f>
      </c>
      <c r="F274" s="17" t="s">
        <v>23</v>
      </c>
    </row>
    <row r="275" ht="18" customHeight="1" spans="2:6" x14ac:dyDescent="0.25">
      <c r="B275" s="12" t="s">
        <v>24</v>
      </c>
      <c r="C275" s="27">
        <v>0</v>
      </c>
      <c r="D275" s="28">
        <f>C$22</f>
      </c>
      <c r="E275" s="26">
        <f>C275*D275</f>
      </c>
      <c r="F275" s="17" t="s">
        <v>23</v>
      </c>
    </row>
    <row r="276" ht="18" customHeight="1" spans="2:6" x14ac:dyDescent="0.25">
      <c r="B276" s="12" t="s">
        <v>25</v>
      </c>
      <c r="C276" s="27">
        <v>0</v>
      </c>
      <c r="D276" s="28">
        <f>C$23</f>
      </c>
      <c r="E276" s="26">
        <f>C276*D276</f>
      </c>
      <c r="F276" s="17" t="s">
        <v>23</v>
      </c>
    </row>
    <row r="277" ht="18" customHeight="1" spans="2:6" x14ac:dyDescent="0.25">
      <c r="B277" s="12" t="s">
        <v>26</v>
      </c>
      <c r="C277" s="27">
        <v>0</v>
      </c>
      <c r="D277" s="28">
        <f>C$24</f>
      </c>
      <c r="E277" s="26">
        <f>C277*D277</f>
      </c>
      <c r="F277" s="17" t="s">
        <v>23</v>
      </c>
    </row>
    <row r="278" ht="18" customHeight="1" spans="2:6" x14ac:dyDescent="0.25">
      <c r="B278" s="12" t="s">
        <v>47</v>
      </c>
      <c r="C278" s="27">
        <v>0</v>
      </c>
      <c r="D278" s="28">
        <f>C$25</f>
      </c>
      <c r="E278" s="26">
        <f>C278*D278</f>
      </c>
      <c r="F278" s="17" t="s">
        <v>23</v>
      </c>
    </row>
    <row r="279" ht="18" customHeight="1" spans="2:6" x14ac:dyDescent="0.25">
      <c r="B279" s="12" t="s">
        <v>28</v>
      </c>
      <c r="C279" s="27">
        <v>0</v>
      </c>
      <c r="D279" s="28">
        <f>C$26</f>
      </c>
      <c r="E279" s="26">
        <f>C279*D279</f>
      </c>
      <c r="F279" s="17" t="s">
        <v>23</v>
      </c>
    </row>
    <row r="280" ht="18" customHeight="1" spans="2:6" x14ac:dyDescent="0.25">
      <c r="B280" s="12" t="s">
        <v>48</v>
      </c>
      <c r="C280" s="27">
        <v>0</v>
      </c>
      <c r="D280" s="28">
        <f>C$27</f>
      </c>
      <c r="E280" s="26">
        <f>C280*D280</f>
      </c>
      <c r="F280" s="17" t="s">
        <v>23</v>
      </c>
    </row>
    <row r="281" ht="18" customHeight="1" spans="2:6" x14ac:dyDescent="0.25">
      <c r="B281" s="12" t="s">
        <v>30</v>
      </c>
      <c r="C281" s="27">
        <v>0</v>
      </c>
      <c r="D281" s="28">
        <f>C$28</f>
      </c>
      <c r="E281" s="26">
        <f>C281*D281</f>
      </c>
      <c r="F281" s="17" t="s">
        <v>23</v>
      </c>
    </row>
    <row r="282" ht="18" customHeight="1" spans="2:6" x14ac:dyDescent="0.25">
      <c r="B282" s="12" t="s">
        <v>31</v>
      </c>
      <c r="C282" s="27">
        <v>0</v>
      </c>
      <c r="D282" s="28">
        <f>C$29</f>
      </c>
      <c r="E282" s="26">
        <f>C282*D282</f>
      </c>
      <c r="F282" s="17" t="s">
        <v>23</v>
      </c>
    </row>
    <row r="283" ht="18" customHeight="1" spans="2:6" x14ac:dyDescent="0.25">
      <c r="B283" s="12" t="s">
        <v>49</v>
      </c>
      <c r="C283" s="27">
        <v>0</v>
      </c>
      <c r="D283" s="28">
        <f>C$30</f>
      </c>
      <c r="E283" s="26">
        <f>C283*D283</f>
      </c>
      <c r="F283" s="17" t="s">
        <v>23</v>
      </c>
    </row>
    <row r="284" ht="16" customHeight="1" spans="1:6" x14ac:dyDescent="0.25">
      <c r="A284" s="29" t="s">
        <v>50</v>
      </c>
      <c r="B284" s="29"/>
      <c r="C284" s="29"/>
      <c r="D284" s="29"/>
      <c r="E284" s="29"/>
      <c r="F284" s="29"/>
    </row>
    <row r="285" ht="18" customHeight="1" spans="2:6" x14ac:dyDescent="0.25">
      <c r="B285" s="12" t="s">
        <v>35</v>
      </c>
      <c r="C285" s="7">
        <v>0</v>
      </c>
      <c r="D285" s="30" t="s">
        <v>51</v>
      </c>
      <c r="E285" s="31">
        <f>C285</f>
      </c>
      <c r="F285" s="18" t="s">
        <v>34</v>
      </c>
    </row>
    <row r="286" ht="18" customHeight="1" spans="2:6" x14ac:dyDescent="0.25">
      <c r="B286" s="12" t="s">
        <v>37</v>
      </c>
      <c r="C286" s="7">
        <v>0</v>
      </c>
      <c r="D286" s="30" t="s">
        <v>51</v>
      </c>
      <c r="E286" s="31">
        <f>C286</f>
      </c>
      <c r="F286" s="18" t="s">
        <v>34</v>
      </c>
    </row>
    <row r="287" ht="18" customHeight="1" spans="2:6" x14ac:dyDescent="0.25">
      <c r="B287" s="12" t="s">
        <v>52</v>
      </c>
      <c r="C287" s="27">
        <v>0</v>
      </c>
      <c r="D287" s="28">
        <f>C$31</f>
      </c>
      <c r="E287" s="31">
        <f>C287*D287</f>
      </c>
      <c r="F287" s="18" t="s">
        <v>34</v>
      </c>
    </row>
    <row r="288" ht="3" customHeight="1" spans="1:6" x14ac:dyDescent="0.25">
      <c r="A288" s="32"/>
      <c r="B288" s="32"/>
      <c r="C288" s="32"/>
      <c r="D288" s="32"/>
      <c r="E288" s="32"/>
      <c r="F288" s="32"/>
    </row>
    <row r="289" ht="20" customHeight="1" spans="1:5" x14ac:dyDescent="0.25">
      <c r="A289" s="33" t="s">
        <v>53</v>
      </c>
      <c r="B289" s="33"/>
      <c r="C289" s="33"/>
      <c r="D289" s="33"/>
      <c r="E289" s="34">
        <f>E273+E274+E275+E276+E277+E278+E279+E280+E281+E282+E283</f>
      </c>
    </row>
    <row r="290" ht="20" customHeight="1" spans="1:5" x14ac:dyDescent="0.25">
      <c r="A290" s="35" t="s">
        <v>54</v>
      </c>
      <c r="B290" s="35"/>
      <c r="C290" s="35"/>
      <c r="D290" s="35"/>
      <c r="E290" s="31">
        <f>E285+E286+E287</f>
      </c>
    </row>
    <row r="291" ht="3" customHeight="1" spans="1:6" x14ac:dyDescent="0.25">
      <c r="A291" s="32"/>
      <c r="B291" s="32"/>
      <c r="C291" s="32"/>
      <c r="D291" s="32"/>
      <c r="E291" s="32"/>
      <c r="F291" s="32"/>
    </row>
    <row r="292" ht="20" customHeight="1" spans="1:5" x14ac:dyDescent="0.25">
      <c r="A292" s="36" t="s">
        <v>55</v>
      </c>
      <c r="B292" s="36"/>
      <c r="C292" s="36"/>
      <c r="D292" s="36"/>
      <c r="E292" s="37">
        <f>E289*C$15</f>
      </c>
    </row>
    <row r="293" ht="20" customHeight="1" spans="1:5" x14ac:dyDescent="0.25">
      <c r="A293" s="36" t="s">
        <v>61</v>
      </c>
      <c r="B293" s="36"/>
      <c r="C293" s="36"/>
      <c r="D293" s="36"/>
      <c r="E293" s="37">
        <f>E289*F271</f>
      </c>
    </row>
    <row r="294" ht="3" customHeight="1" spans="1:6" x14ac:dyDescent="0.25">
      <c r="A294" s="32"/>
      <c r="B294" s="32"/>
      <c r="C294" s="32"/>
      <c r="D294" s="32"/>
      <c r="E294" s="32"/>
      <c r="F294" s="32"/>
    </row>
    <row r="295" ht="28" customHeight="1" spans="1:6" x14ac:dyDescent="0.25">
      <c r="A295" s="38" t="s">
        <v>57</v>
      </c>
      <c r="B295" s="38"/>
      <c r="C295" s="38"/>
      <c r="D295" s="38"/>
      <c r="E295" s="39">
        <f>E289-E292-E293+E290</f>
      </c>
      <c r="F295" s="40" t="s">
        <v>58</v>
      </c>
    </row>
    <row r="296" ht="10" customHeight="1" spans="1:6" x14ac:dyDescent="0.25">
      <c r="A296" s="3"/>
      <c r="B296" s="3"/>
      <c r="C296" s="3"/>
      <c r="D296" s="3"/>
      <c r="E296" s="3"/>
      <c r="F296" s="3"/>
    </row>
    <row r="297" ht="24" customHeight="1" spans="1:6" x14ac:dyDescent="0.25">
      <c r="A297" s="4" t="s">
        <v>71</v>
      </c>
      <c r="B297" s="4"/>
      <c r="C297" s="4"/>
      <c r="D297" s="4"/>
      <c r="E297" s="22" t="s">
        <v>64</v>
      </c>
      <c r="F297" s="13">
        <f>$C$17</f>
      </c>
    </row>
    <row r="298" ht="16" customHeight="1" spans="1:6" x14ac:dyDescent="0.25">
      <c r="A298" s="23" t="s">
        <v>3</v>
      </c>
      <c r="B298" s="24" t="s">
        <v>41</v>
      </c>
      <c r="C298" s="25" t="s">
        <v>42</v>
      </c>
      <c r="D298" s="25" t="s">
        <v>43</v>
      </c>
      <c r="E298" s="25" t="s">
        <v>44</v>
      </c>
      <c r="F298" s="25" t="s">
        <v>45</v>
      </c>
    </row>
    <row r="299" ht="18" customHeight="1" spans="2:6" x14ac:dyDescent="0.25">
      <c r="B299" s="9" t="s">
        <v>46</v>
      </c>
      <c r="E299" s="26">
        <f>C$6</f>
      </c>
      <c r="F299" s="17" t="s">
        <v>23</v>
      </c>
    </row>
    <row r="300" ht="18" customHeight="1" spans="2:6" x14ac:dyDescent="0.25">
      <c r="B300" s="12" t="s">
        <v>22</v>
      </c>
      <c r="C300" s="27">
        <v>0</v>
      </c>
      <c r="D300" s="28">
        <f>C$21</f>
      </c>
      <c r="E300" s="26">
        <f>C300*D300</f>
      </c>
      <c r="F300" s="17" t="s">
        <v>23</v>
      </c>
    </row>
    <row r="301" ht="18" customHeight="1" spans="2:6" x14ac:dyDescent="0.25">
      <c r="B301" s="12" t="s">
        <v>24</v>
      </c>
      <c r="C301" s="27">
        <v>0</v>
      </c>
      <c r="D301" s="28">
        <f>C$22</f>
      </c>
      <c r="E301" s="26">
        <f>C301*D301</f>
      </c>
      <c r="F301" s="17" t="s">
        <v>23</v>
      </c>
    </row>
    <row r="302" ht="18" customHeight="1" spans="2:6" x14ac:dyDescent="0.25">
      <c r="B302" s="12" t="s">
        <v>25</v>
      </c>
      <c r="C302" s="27">
        <v>0</v>
      </c>
      <c r="D302" s="28">
        <f>C$23</f>
      </c>
      <c r="E302" s="26">
        <f>C302*D302</f>
      </c>
      <c r="F302" s="17" t="s">
        <v>23</v>
      </c>
    </row>
    <row r="303" ht="18" customHeight="1" spans="2:6" x14ac:dyDescent="0.25">
      <c r="B303" s="12" t="s">
        <v>26</v>
      </c>
      <c r="C303" s="27">
        <v>0</v>
      </c>
      <c r="D303" s="28">
        <f>C$24</f>
      </c>
      <c r="E303" s="26">
        <f>C303*D303</f>
      </c>
      <c r="F303" s="17" t="s">
        <v>23</v>
      </c>
    </row>
    <row r="304" ht="18" customHeight="1" spans="2:6" x14ac:dyDescent="0.25">
      <c r="B304" s="12" t="s">
        <v>47</v>
      </c>
      <c r="C304" s="27">
        <v>0</v>
      </c>
      <c r="D304" s="28">
        <f>C$25</f>
      </c>
      <c r="E304" s="26">
        <f>C304*D304</f>
      </c>
      <c r="F304" s="17" t="s">
        <v>23</v>
      </c>
    </row>
    <row r="305" ht="18" customHeight="1" spans="2:6" x14ac:dyDescent="0.25">
      <c r="B305" s="12" t="s">
        <v>28</v>
      </c>
      <c r="C305" s="27">
        <v>0</v>
      </c>
      <c r="D305" s="28">
        <f>C$26</f>
      </c>
      <c r="E305" s="26">
        <f>C305*D305</f>
      </c>
      <c r="F305" s="17" t="s">
        <v>23</v>
      </c>
    </row>
    <row r="306" ht="18" customHeight="1" spans="2:6" x14ac:dyDescent="0.25">
      <c r="B306" s="12" t="s">
        <v>48</v>
      </c>
      <c r="C306" s="27">
        <v>0</v>
      </c>
      <c r="D306" s="28">
        <f>C$27</f>
      </c>
      <c r="E306" s="26">
        <f>C306*D306</f>
      </c>
      <c r="F306" s="17" t="s">
        <v>23</v>
      </c>
    </row>
    <row r="307" ht="18" customHeight="1" spans="2:6" x14ac:dyDescent="0.25">
      <c r="B307" s="12" t="s">
        <v>30</v>
      </c>
      <c r="C307" s="27">
        <v>0</v>
      </c>
      <c r="D307" s="28">
        <f>C$28</f>
      </c>
      <c r="E307" s="26">
        <f>C307*D307</f>
      </c>
      <c r="F307" s="17" t="s">
        <v>23</v>
      </c>
    </row>
    <row r="308" ht="18" customHeight="1" spans="2:6" x14ac:dyDescent="0.25">
      <c r="B308" s="12" t="s">
        <v>31</v>
      </c>
      <c r="C308" s="27">
        <v>0</v>
      </c>
      <c r="D308" s="28">
        <f>C$29</f>
      </c>
      <c r="E308" s="26">
        <f>C308*D308</f>
      </c>
      <c r="F308" s="17" t="s">
        <v>23</v>
      </c>
    </row>
    <row r="309" ht="18" customHeight="1" spans="2:6" x14ac:dyDescent="0.25">
      <c r="B309" s="12" t="s">
        <v>49</v>
      </c>
      <c r="C309" s="27">
        <v>0</v>
      </c>
      <c r="D309" s="28">
        <f>C$30</f>
      </c>
      <c r="E309" s="26">
        <f>C309*D309</f>
      </c>
      <c r="F309" s="17" t="s">
        <v>23</v>
      </c>
    </row>
    <row r="310" ht="16" customHeight="1" spans="1:6" x14ac:dyDescent="0.25">
      <c r="A310" s="29" t="s">
        <v>50</v>
      </c>
      <c r="B310" s="29"/>
      <c r="C310" s="29"/>
      <c r="D310" s="29"/>
      <c r="E310" s="29"/>
      <c r="F310" s="29"/>
    </row>
    <row r="311" ht="18" customHeight="1" spans="2:6" x14ac:dyDescent="0.25">
      <c r="B311" s="12" t="s">
        <v>35</v>
      </c>
      <c r="C311" s="7">
        <v>0</v>
      </c>
      <c r="D311" s="30" t="s">
        <v>51</v>
      </c>
      <c r="E311" s="31">
        <f>C311</f>
      </c>
      <c r="F311" s="18" t="s">
        <v>34</v>
      </c>
    </row>
    <row r="312" ht="18" customHeight="1" spans="2:6" x14ac:dyDescent="0.25">
      <c r="B312" s="12" t="s">
        <v>37</v>
      </c>
      <c r="C312" s="7">
        <v>0</v>
      </c>
      <c r="D312" s="30" t="s">
        <v>51</v>
      </c>
      <c r="E312" s="31">
        <f>C312</f>
      </c>
      <c r="F312" s="18" t="s">
        <v>34</v>
      </c>
    </row>
    <row r="313" ht="18" customHeight="1" spans="2:6" x14ac:dyDescent="0.25">
      <c r="B313" s="12" t="s">
        <v>52</v>
      </c>
      <c r="C313" s="27">
        <v>0</v>
      </c>
      <c r="D313" s="28">
        <f>C$31</f>
      </c>
      <c r="E313" s="31">
        <f>C313*D313</f>
      </c>
      <c r="F313" s="18" t="s">
        <v>34</v>
      </c>
    </row>
    <row r="314" ht="3" customHeight="1" spans="1:6" x14ac:dyDescent="0.25">
      <c r="A314" s="32"/>
      <c r="B314" s="32"/>
      <c r="C314" s="32"/>
      <c r="D314" s="32"/>
      <c r="E314" s="32"/>
      <c r="F314" s="32"/>
    </row>
    <row r="315" ht="20" customHeight="1" spans="1:5" x14ac:dyDescent="0.25">
      <c r="A315" s="33" t="s">
        <v>53</v>
      </c>
      <c r="B315" s="33"/>
      <c r="C315" s="33"/>
      <c r="D315" s="33"/>
      <c r="E315" s="34">
        <f>E299+E300+E301+E302+E303+E304+E305+E306+E307+E308+E309</f>
      </c>
    </row>
    <row r="316" ht="20" customHeight="1" spans="1:5" x14ac:dyDescent="0.25">
      <c r="A316" s="35" t="s">
        <v>54</v>
      </c>
      <c r="B316" s="35"/>
      <c r="C316" s="35"/>
      <c r="D316" s="35"/>
      <c r="E316" s="31">
        <f>E311+E312+E313</f>
      </c>
    </row>
    <row r="317" ht="3" customHeight="1" spans="1:6" x14ac:dyDescent="0.25">
      <c r="A317" s="32"/>
      <c r="B317" s="32"/>
      <c r="C317" s="32"/>
      <c r="D317" s="32"/>
      <c r="E317" s="32"/>
      <c r="F317" s="32"/>
    </row>
    <row r="318" ht="20" customHeight="1" spans="1:5" x14ac:dyDescent="0.25">
      <c r="A318" s="36" t="s">
        <v>55</v>
      </c>
      <c r="B318" s="36"/>
      <c r="C318" s="36"/>
      <c r="D318" s="36"/>
      <c r="E318" s="37">
        <f>E315*C$15</f>
      </c>
    </row>
    <row r="319" ht="20" customHeight="1" spans="1:5" x14ac:dyDescent="0.25">
      <c r="A319" s="36" t="s">
        <v>61</v>
      </c>
      <c r="B319" s="36"/>
      <c r="C319" s="36"/>
      <c r="D319" s="36"/>
      <c r="E319" s="37">
        <f>E315*F297</f>
      </c>
    </row>
    <row r="320" ht="3" customHeight="1" spans="1:6" x14ac:dyDescent="0.25">
      <c r="A320" s="32"/>
      <c r="B320" s="32"/>
      <c r="C320" s="32"/>
      <c r="D320" s="32"/>
      <c r="E320" s="32"/>
      <c r="F320" s="32"/>
    </row>
    <row r="321" ht="28" customHeight="1" spans="1:6" x14ac:dyDescent="0.25">
      <c r="A321" s="38" t="s">
        <v>57</v>
      </c>
      <c r="B321" s="38"/>
      <c r="C321" s="38"/>
      <c r="D321" s="38"/>
      <c r="E321" s="39">
        <f>E315-E318-E319+E316</f>
      </c>
      <c r="F321" s="40" t="s">
        <v>58</v>
      </c>
    </row>
    <row r="322" ht="10" customHeight="1" spans="1:6" x14ac:dyDescent="0.25">
      <c r="A322" s="3"/>
      <c r="B322" s="3"/>
      <c r="C322" s="3"/>
      <c r="D322" s="3"/>
      <c r="E322" s="3"/>
      <c r="F322" s="3"/>
    </row>
    <row r="323" ht="24" customHeight="1" spans="1:6" x14ac:dyDescent="0.25">
      <c r="A323" s="4" t="s">
        <v>72</v>
      </c>
      <c r="B323" s="4"/>
      <c r="C323" s="4"/>
      <c r="D323" s="4"/>
      <c r="E323" s="22" t="s">
        <v>40</v>
      </c>
      <c r="F323" s="13">
        <f>$C$17</f>
      </c>
    </row>
    <row r="324" ht="16" customHeight="1" spans="1:6" x14ac:dyDescent="0.25">
      <c r="A324" s="23" t="s">
        <v>3</v>
      </c>
      <c r="B324" s="24" t="s">
        <v>41</v>
      </c>
      <c r="C324" s="25" t="s">
        <v>42</v>
      </c>
      <c r="D324" s="25" t="s">
        <v>43</v>
      </c>
      <c r="E324" s="25" t="s">
        <v>44</v>
      </c>
      <c r="F324" s="25" t="s">
        <v>45</v>
      </c>
    </row>
    <row r="325" ht="18" customHeight="1" spans="2:6" x14ac:dyDescent="0.25">
      <c r="B325" s="9" t="s">
        <v>46</v>
      </c>
      <c r="E325" s="26">
        <f>C$6</f>
      </c>
      <c r="F325" s="17" t="s">
        <v>23</v>
      </c>
    </row>
    <row r="326" ht="18" customHeight="1" spans="2:6" x14ac:dyDescent="0.25">
      <c r="B326" s="12" t="s">
        <v>22</v>
      </c>
      <c r="C326" s="27">
        <v>0</v>
      </c>
      <c r="D326" s="28">
        <f>C$21</f>
      </c>
      <c r="E326" s="26">
        <f>C326*D326</f>
      </c>
      <c r="F326" s="17" t="s">
        <v>23</v>
      </c>
    </row>
    <row r="327" ht="18" customHeight="1" spans="2:6" x14ac:dyDescent="0.25">
      <c r="B327" s="12" t="s">
        <v>24</v>
      </c>
      <c r="C327" s="27">
        <v>0</v>
      </c>
      <c r="D327" s="28">
        <f>C$22</f>
      </c>
      <c r="E327" s="26">
        <f>C327*D327</f>
      </c>
      <c r="F327" s="17" t="s">
        <v>23</v>
      </c>
    </row>
    <row r="328" ht="18" customHeight="1" spans="2:6" x14ac:dyDescent="0.25">
      <c r="B328" s="12" t="s">
        <v>25</v>
      </c>
      <c r="C328" s="27">
        <v>0</v>
      </c>
      <c r="D328" s="28">
        <f>C$23</f>
      </c>
      <c r="E328" s="26">
        <f>C328*D328</f>
      </c>
      <c r="F328" s="17" t="s">
        <v>23</v>
      </c>
    </row>
    <row r="329" ht="18" customHeight="1" spans="2:6" x14ac:dyDescent="0.25">
      <c r="B329" s="12" t="s">
        <v>26</v>
      </c>
      <c r="C329" s="27">
        <v>0</v>
      </c>
      <c r="D329" s="28">
        <f>C$24</f>
      </c>
      <c r="E329" s="26">
        <f>C329*D329</f>
      </c>
      <c r="F329" s="17" t="s">
        <v>23</v>
      </c>
    </row>
    <row r="330" ht="18" customHeight="1" spans="2:6" x14ac:dyDescent="0.25">
      <c r="B330" s="12" t="s">
        <v>47</v>
      </c>
      <c r="C330" s="27">
        <v>0</v>
      </c>
      <c r="D330" s="28">
        <f>C$25</f>
      </c>
      <c r="E330" s="26">
        <f>C330*D330</f>
      </c>
      <c r="F330" s="17" t="s">
        <v>23</v>
      </c>
    </row>
    <row r="331" ht="18" customHeight="1" spans="2:6" x14ac:dyDescent="0.25">
      <c r="B331" s="12" t="s">
        <v>28</v>
      </c>
      <c r="C331" s="27">
        <v>0</v>
      </c>
      <c r="D331" s="28">
        <f>C$26</f>
      </c>
      <c r="E331" s="26">
        <f>C331*D331</f>
      </c>
      <c r="F331" s="17" t="s">
        <v>23</v>
      </c>
    </row>
    <row r="332" ht="18" customHeight="1" spans="2:6" x14ac:dyDescent="0.25">
      <c r="B332" s="12" t="s">
        <v>48</v>
      </c>
      <c r="C332" s="27">
        <v>0</v>
      </c>
      <c r="D332" s="28">
        <f>C$27</f>
      </c>
      <c r="E332" s="26">
        <f>C332*D332</f>
      </c>
      <c r="F332" s="17" t="s">
        <v>23</v>
      </c>
    </row>
    <row r="333" ht="18" customHeight="1" spans="2:6" x14ac:dyDescent="0.25">
      <c r="B333" s="12" t="s">
        <v>30</v>
      </c>
      <c r="C333" s="27">
        <v>0</v>
      </c>
      <c r="D333" s="28">
        <f>C$28</f>
      </c>
      <c r="E333" s="26">
        <f>C333*D333</f>
      </c>
      <c r="F333" s="17" t="s">
        <v>23</v>
      </c>
    </row>
    <row r="334" ht="18" customHeight="1" spans="2:6" x14ac:dyDescent="0.25">
      <c r="B334" s="12" t="s">
        <v>31</v>
      </c>
      <c r="C334" s="27">
        <v>0</v>
      </c>
      <c r="D334" s="28">
        <f>C$29</f>
      </c>
      <c r="E334" s="26">
        <f>C334*D334</f>
      </c>
      <c r="F334" s="17" t="s">
        <v>23</v>
      </c>
    </row>
    <row r="335" ht="18" customHeight="1" spans="2:6" x14ac:dyDescent="0.25">
      <c r="B335" s="12" t="s">
        <v>49</v>
      </c>
      <c r="C335" s="27">
        <v>0</v>
      </c>
      <c r="D335" s="28">
        <f>C$30</f>
      </c>
      <c r="E335" s="26">
        <f>C335*D335</f>
      </c>
      <c r="F335" s="17" t="s">
        <v>23</v>
      </c>
    </row>
    <row r="336" ht="16" customHeight="1" spans="1:6" x14ac:dyDescent="0.25">
      <c r="A336" s="29" t="s">
        <v>50</v>
      </c>
      <c r="B336" s="29"/>
      <c r="C336" s="29"/>
      <c r="D336" s="29"/>
      <c r="E336" s="29"/>
      <c r="F336" s="29"/>
    </row>
    <row r="337" ht="18" customHeight="1" spans="2:6" x14ac:dyDescent="0.25">
      <c r="B337" s="12" t="s">
        <v>35</v>
      </c>
      <c r="C337" s="7">
        <v>0</v>
      </c>
      <c r="D337" s="30" t="s">
        <v>51</v>
      </c>
      <c r="E337" s="31">
        <f>C337</f>
      </c>
      <c r="F337" s="18" t="s">
        <v>34</v>
      </c>
    </row>
    <row r="338" ht="18" customHeight="1" spans="2:6" x14ac:dyDescent="0.25">
      <c r="B338" s="12" t="s">
        <v>37</v>
      </c>
      <c r="C338" s="7">
        <v>0</v>
      </c>
      <c r="D338" s="30" t="s">
        <v>51</v>
      </c>
      <c r="E338" s="31">
        <f>C338</f>
      </c>
      <c r="F338" s="18" t="s">
        <v>34</v>
      </c>
    </row>
    <row r="339" ht="18" customHeight="1" spans="2:6" x14ac:dyDescent="0.25">
      <c r="B339" s="12" t="s">
        <v>52</v>
      </c>
      <c r="C339" s="27">
        <v>0</v>
      </c>
      <c r="D339" s="28">
        <f>C$31</f>
      </c>
      <c r="E339" s="31">
        <f>C339*D339</f>
      </c>
      <c r="F339" s="18" t="s">
        <v>34</v>
      </c>
    </row>
    <row r="340" ht="3" customHeight="1" spans="1:6" x14ac:dyDescent="0.25">
      <c r="A340" s="32"/>
      <c r="B340" s="32"/>
      <c r="C340" s="32"/>
      <c r="D340" s="32"/>
      <c r="E340" s="32"/>
      <c r="F340" s="32"/>
    </row>
    <row r="341" ht="20" customHeight="1" spans="1:5" x14ac:dyDescent="0.25">
      <c r="A341" s="33" t="s">
        <v>53</v>
      </c>
      <c r="B341" s="33"/>
      <c r="C341" s="33"/>
      <c r="D341" s="33"/>
      <c r="E341" s="34">
        <f>E325+E326+E327+E328+E329+E330+E331+E332+E333+E334+E335</f>
      </c>
    </row>
    <row r="342" ht="20" customHeight="1" spans="1:5" x14ac:dyDescent="0.25">
      <c r="A342" s="35" t="s">
        <v>54</v>
      </c>
      <c r="B342" s="35"/>
      <c r="C342" s="35"/>
      <c r="D342" s="35"/>
      <c r="E342" s="31">
        <f>E337+E338+E339</f>
      </c>
    </row>
    <row r="343" ht="3" customHeight="1" spans="1:6" x14ac:dyDescent="0.25">
      <c r="A343" s="32"/>
      <c r="B343" s="32"/>
      <c r="C343" s="32"/>
      <c r="D343" s="32"/>
      <c r="E343" s="32"/>
      <c r="F343" s="32"/>
    </row>
    <row r="344" ht="20" customHeight="1" spans="1:5" x14ac:dyDescent="0.25">
      <c r="A344" s="36" t="s">
        <v>55</v>
      </c>
      <c r="B344" s="36"/>
      <c r="C344" s="36"/>
      <c r="D344" s="36"/>
      <c r="E344" s="37">
        <f>E341*C$15</f>
      </c>
    </row>
    <row r="345" ht="20" customHeight="1" spans="1:5" x14ac:dyDescent="0.25">
      <c r="A345" s="36" t="s">
        <v>61</v>
      </c>
      <c r="B345" s="36"/>
      <c r="C345" s="36"/>
      <c r="D345" s="36"/>
      <c r="E345" s="37">
        <f>E341*F323</f>
      </c>
    </row>
    <row r="346" ht="3" customHeight="1" spans="1:6" x14ac:dyDescent="0.25">
      <c r="A346" s="32"/>
      <c r="B346" s="32"/>
      <c r="C346" s="32"/>
      <c r="D346" s="32"/>
      <c r="E346" s="32"/>
      <c r="F346" s="32"/>
    </row>
    <row r="347" ht="28" customHeight="1" spans="1:6" x14ac:dyDescent="0.25">
      <c r="A347" s="38" t="s">
        <v>57</v>
      </c>
      <c r="B347" s="38"/>
      <c r="C347" s="38"/>
      <c r="D347" s="38"/>
      <c r="E347" s="39">
        <f>E341-E344-E345+E342</f>
      </c>
      <c r="F347" s="40" t="s">
        <v>58</v>
      </c>
    </row>
    <row r="348" ht="10" customHeight="1" spans="1:6" x14ac:dyDescent="0.25">
      <c r="A348" s="3"/>
      <c r="B348" s="3"/>
      <c r="C348" s="3"/>
      <c r="D348" s="3"/>
      <c r="E348" s="3"/>
      <c r="F348" s="3"/>
    </row>
    <row r="349" ht="24" customHeight="1" spans="1:6" x14ac:dyDescent="0.25">
      <c r="A349" s="41" t="s">
        <v>73</v>
      </c>
      <c r="B349" s="41"/>
      <c r="C349" s="41"/>
      <c r="D349" s="41"/>
      <c r="E349" s="41"/>
      <c r="F349" s="41"/>
    </row>
    <row r="350" ht="20" customHeight="1" spans="1:7" x14ac:dyDescent="0.25">
      <c r="A350" s="42" t="s">
        <v>3</v>
      </c>
      <c r="B350" s="43" t="s">
        <v>74</v>
      </c>
      <c r="C350" s="44" t="s">
        <v>75</v>
      </c>
      <c r="D350" s="44" t="s">
        <v>76</v>
      </c>
      <c r="E350" s="44" t="s">
        <v>77</v>
      </c>
      <c r="F350" s="44" t="s">
        <v>78</v>
      </c>
      <c r="G350" s="44" t="s">
        <v>79</v>
      </c>
    </row>
    <row r="351" ht="20" customHeight="1" spans="2:7" x14ac:dyDescent="0.25">
      <c r="B351" s="45" t="s">
        <v>80</v>
      </c>
      <c r="C351" s="46">
        <f>E55</f>
      </c>
      <c r="D351" s="47">
        <f>E58</f>
      </c>
      <c r="E351" s="47">
        <f>E59</f>
      </c>
      <c r="F351" s="48">
        <f>E56</f>
      </c>
      <c r="G351" s="49">
        <f>E61</f>
      </c>
    </row>
    <row r="352" ht="20" customHeight="1" spans="2:7" x14ac:dyDescent="0.25">
      <c r="B352" s="50" t="s">
        <v>81</v>
      </c>
      <c r="C352" s="51">
        <f>E81</f>
      </c>
      <c r="D352" s="52">
        <f>E84</f>
      </c>
      <c r="E352" s="52">
        <f>E85</f>
      </c>
      <c r="F352" s="53">
        <f>E82</f>
      </c>
      <c r="G352" s="54">
        <f>E87</f>
      </c>
    </row>
    <row r="353" ht="20" customHeight="1" spans="2:7" x14ac:dyDescent="0.25">
      <c r="B353" s="45" t="s">
        <v>82</v>
      </c>
      <c r="C353" s="46">
        <f>E107</f>
      </c>
      <c r="D353" s="47">
        <f>E110</f>
      </c>
      <c r="E353" s="47">
        <f>E111</f>
      </c>
      <c r="F353" s="48">
        <f>E108</f>
      </c>
      <c r="G353" s="49">
        <f>E113</f>
      </c>
    </row>
    <row r="354" ht="20" customHeight="1" spans="2:7" x14ac:dyDescent="0.25">
      <c r="B354" s="50" t="s">
        <v>83</v>
      </c>
      <c r="C354" s="51">
        <f>E133</f>
      </c>
      <c r="D354" s="52">
        <f>E136</f>
      </c>
      <c r="E354" s="52">
        <f>E137</f>
      </c>
      <c r="F354" s="53">
        <f>E134</f>
      </c>
      <c r="G354" s="54">
        <f>E139</f>
      </c>
    </row>
    <row r="355" ht="20" customHeight="1" spans="2:7" x14ac:dyDescent="0.25">
      <c r="B355" s="45" t="s">
        <v>84</v>
      </c>
      <c r="C355" s="46">
        <f>E159</f>
      </c>
      <c r="D355" s="47">
        <f>E162</f>
      </c>
      <c r="E355" s="47">
        <f>E163</f>
      </c>
      <c r="F355" s="48">
        <f>E160</f>
      </c>
      <c r="G355" s="49">
        <f>E165</f>
      </c>
    </row>
    <row r="356" ht="20" customHeight="1" spans="2:7" x14ac:dyDescent="0.25">
      <c r="B356" s="50" t="s">
        <v>85</v>
      </c>
      <c r="C356" s="51">
        <f>E185</f>
      </c>
      <c r="D356" s="52">
        <f>E188</f>
      </c>
      <c r="E356" s="52">
        <f>E189</f>
      </c>
      <c r="F356" s="53">
        <f>E186</f>
      </c>
      <c r="G356" s="54">
        <f>E191</f>
      </c>
    </row>
    <row r="357" ht="20" customHeight="1" spans="2:7" x14ac:dyDescent="0.25">
      <c r="B357" s="45" t="s">
        <v>86</v>
      </c>
      <c r="C357" s="46">
        <f>E211</f>
      </c>
      <c r="D357" s="47">
        <f>E214</f>
      </c>
      <c r="E357" s="47">
        <f>E215</f>
      </c>
      <c r="F357" s="48">
        <f>E212</f>
      </c>
      <c r="G357" s="49">
        <f>E217</f>
      </c>
    </row>
    <row r="358" ht="20" customHeight="1" spans="2:7" x14ac:dyDescent="0.25">
      <c r="B358" s="50" t="s">
        <v>87</v>
      </c>
      <c r="C358" s="51">
        <f>E237</f>
      </c>
      <c r="D358" s="52">
        <f>E240</f>
      </c>
      <c r="E358" s="52">
        <f>E241</f>
      </c>
      <c r="F358" s="53">
        <f>E238</f>
      </c>
      <c r="G358" s="54">
        <f>E243</f>
      </c>
    </row>
    <row r="359" ht="20" customHeight="1" spans="2:7" x14ac:dyDescent="0.25">
      <c r="B359" s="45" t="s">
        <v>88</v>
      </c>
      <c r="C359" s="46">
        <f>E263</f>
      </c>
      <c r="D359" s="47">
        <f>E266</f>
      </c>
      <c r="E359" s="47">
        <f>E267</f>
      </c>
      <c r="F359" s="48">
        <f>E264</f>
      </c>
      <c r="G359" s="49">
        <f>E269</f>
      </c>
    </row>
    <row r="360" ht="20" customHeight="1" spans="2:7" x14ac:dyDescent="0.25">
      <c r="B360" s="50" t="s">
        <v>89</v>
      </c>
      <c r="C360" s="51">
        <f>E289</f>
      </c>
      <c r="D360" s="52">
        <f>E292</f>
      </c>
      <c r="E360" s="52">
        <f>E293</f>
      </c>
      <c r="F360" s="53">
        <f>E290</f>
      </c>
      <c r="G360" s="54">
        <f>E295</f>
      </c>
    </row>
    <row r="361" ht="20" customHeight="1" spans="2:7" x14ac:dyDescent="0.25">
      <c r="B361" s="45" t="s">
        <v>90</v>
      </c>
      <c r="C361" s="46">
        <f>E315</f>
      </c>
      <c r="D361" s="47">
        <f>E318</f>
      </c>
      <c r="E361" s="47">
        <f>E319</f>
      </c>
      <c r="F361" s="48">
        <f>E316</f>
      </c>
      <c r="G361" s="49">
        <f>E321</f>
      </c>
    </row>
    <row r="362" ht="20" customHeight="1" spans="2:7" x14ac:dyDescent="0.25">
      <c r="B362" s="50" t="s">
        <v>91</v>
      </c>
      <c r="C362" s="51">
        <f>E341</f>
      </c>
      <c r="D362" s="52">
        <f>E344</f>
      </c>
      <c r="E362" s="52">
        <f>E345</f>
      </c>
      <c r="F362" s="53">
        <f>E342</f>
      </c>
      <c r="G362" s="54">
        <f>E347</f>
      </c>
    </row>
    <row r="363" ht="3" customHeight="1" spans="1:6" x14ac:dyDescent="0.25">
      <c r="A363" s="55"/>
      <c r="B363" s="55"/>
      <c r="C363" s="55"/>
      <c r="D363" s="55"/>
      <c r="E363" s="55"/>
      <c r="F363" s="55"/>
    </row>
    <row r="364" ht="26" customHeight="1" spans="1:7" x14ac:dyDescent="0.25">
      <c r="A364" s="56" t="s">
        <v>92</v>
      </c>
      <c r="B364" s="56"/>
      <c r="C364" s="57">
        <f>SUM(C351:C362)</f>
      </c>
      <c r="D364" s="57">
        <f>SUM(D351:D362)</f>
      </c>
      <c r="E364" s="57">
        <f>SUM(E351:E362)</f>
      </c>
      <c r="F364" s="57">
        <f>SUM(F351:F362)</f>
      </c>
      <c r="G364" s="58">
        <f>SUM(G351:G362)</f>
      </c>
    </row>
    <row r="365" ht="8" customHeight="1" spans="1:6" x14ac:dyDescent="0.25">
      <c r="A365" s="3"/>
      <c r="B365" s="3"/>
      <c r="C365" s="3"/>
      <c r="D365" s="3"/>
      <c r="E365" s="3"/>
      <c r="F365" s="3"/>
    </row>
    <row r="366" ht="36" customHeight="1" spans="1:7" x14ac:dyDescent="0.25">
      <c r="A366" s="59" t="s">
        <v>93</v>
      </c>
      <c r="B366" s="59"/>
      <c r="C366" s="59"/>
      <c r="D366" s="59"/>
      <c r="E366" s="59"/>
      <c r="F366" s="60">
        <f>SUM(G351:G362)</f>
      </c>
      <c r="G366" s="60"/>
    </row>
    <row r="367" ht="8" customHeight="1" spans="1:6" x14ac:dyDescent="0.25">
      <c r="A367" s="3"/>
      <c r="B367" s="3"/>
      <c r="C367" s="3"/>
      <c r="D367" s="3"/>
      <c r="E367" s="3"/>
      <c r="F367" s="3"/>
    </row>
    <row r="368" ht="28" customHeight="1" spans="1:7" x14ac:dyDescent="0.25">
      <c r="A368" s="21" t="s">
        <v>94</v>
      </c>
      <c r="B368" s="21"/>
      <c r="C368" s="21"/>
      <c r="D368" s="21"/>
      <c r="E368" s="21"/>
      <c r="F368" s="21"/>
      <c r="G368" s="21"/>
    </row>
  </sheetData>
  <mergeCells count="152">
    <mergeCell ref="A1:F1"/>
    <mergeCell ref="A2:F2"/>
    <mergeCell ref="A3:F3"/>
    <mergeCell ref="A4:F4"/>
    <mergeCell ref="D6:F6"/>
    <mergeCell ref="A8:F8"/>
    <mergeCell ref="A16:F16"/>
    <mergeCell ref="D17:F17"/>
    <mergeCell ref="A18:F18"/>
    <mergeCell ref="A34:F34"/>
    <mergeCell ref="A35:F35"/>
    <mergeCell ref="A36:F36"/>
    <mergeCell ref="A37:D37"/>
    <mergeCell ref="A50:F50"/>
    <mergeCell ref="A54:F54"/>
    <mergeCell ref="A55:D55"/>
    <mergeCell ref="A56:D56"/>
    <mergeCell ref="A57:F57"/>
    <mergeCell ref="A58:D58"/>
    <mergeCell ref="A59:D59"/>
    <mergeCell ref="A60:F60"/>
    <mergeCell ref="A61:D61"/>
    <mergeCell ref="A62:F62"/>
    <mergeCell ref="A63:D63"/>
    <mergeCell ref="A76:F76"/>
    <mergeCell ref="A80:F80"/>
    <mergeCell ref="A81:D81"/>
    <mergeCell ref="A82:D82"/>
    <mergeCell ref="A83:F83"/>
    <mergeCell ref="A84:D84"/>
    <mergeCell ref="A85:D85"/>
    <mergeCell ref="A86:F86"/>
    <mergeCell ref="A87:D87"/>
    <mergeCell ref="A88:F88"/>
    <mergeCell ref="A89:D89"/>
    <mergeCell ref="A102:F102"/>
    <mergeCell ref="A106:F106"/>
    <mergeCell ref="A107:D107"/>
    <mergeCell ref="A108:D108"/>
    <mergeCell ref="A109:F109"/>
    <mergeCell ref="A110:D110"/>
    <mergeCell ref="A111:D111"/>
    <mergeCell ref="A112:F112"/>
    <mergeCell ref="A113:D113"/>
    <mergeCell ref="A114:F114"/>
    <mergeCell ref="A115:D115"/>
    <mergeCell ref="A128:F128"/>
    <mergeCell ref="A132:F132"/>
    <mergeCell ref="A133:D133"/>
    <mergeCell ref="A134:D134"/>
    <mergeCell ref="A135:F135"/>
    <mergeCell ref="A136:D136"/>
    <mergeCell ref="A137:D137"/>
    <mergeCell ref="A138:F138"/>
    <mergeCell ref="A139:D139"/>
    <mergeCell ref="A140:F140"/>
    <mergeCell ref="A141:D141"/>
    <mergeCell ref="A154:F154"/>
    <mergeCell ref="A158:F158"/>
    <mergeCell ref="A159:D159"/>
    <mergeCell ref="A160:D160"/>
    <mergeCell ref="A161:F161"/>
    <mergeCell ref="A162:D162"/>
    <mergeCell ref="A163:D163"/>
    <mergeCell ref="A164:F164"/>
    <mergeCell ref="A165:D165"/>
    <mergeCell ref="A166:F166"/>
    <mergeCell ref="A167:D167"/>
    <mergeCell ref="A180:F180"/>
    <mergeCell ref="A184:F184"/>
    <mergeCell ref="A185:D185"/>
    <mergeCell ref="A186:D186"/>
    <mergeCell ref="A187:F187"/>
    <mergeCell ref="A188:D188"/>
    <mergeCell ref="A189:D189"/>
    <mergeCell ref="A190:F190"/>
    <mergeCell ref="A191:D191"/>
    <mergeCell ref="A192:F192"/>
    <mergeCell ref="A193:D193"/>
    <mergeCell ref="A206:F206"/>
    <mergeCell ref="A210:F210"/>
    <mergeCell ref="A211:D211"/>
    <mergeCell ref="A212:D212"/>
    <mergeCell ref="A213:F213"/>
    <mergeCell ref="A214:D214"/>
    <mergeCell ref="A215:D215"/>
    <mergeCell ref="A216:F216"/>
    <mergeCell ref="A217:D217"/>
    <mergeCell ref="A218:F218"/>
    <mergeCell ref="A219:D219"/>
    <mergeCell ref="A232:F232"/>
    <mergeCell ref="A236:F236"/>
    <mergeCell ref="A237:D237"/>
    <mergeCell ref="A238:D238"/>
    <mergeCell ref="A239:F239"/>
    <mergeCell ref="A240:D240"/>
    <mergeCell ref="A241:D241"/>
    <mergeCell ref="A242:F242"/>
    <mergeCell ref="A243:D243"/>
    <mergeCell ref="A244:F244"/>
    <mergeCell ref="A245:D245"/>
    <mergeCell ref="A258:F258"/>
    <mergeCell ref="A262:F262"/>
    <mergeCell ref="A263:D263"/>
    <mergeCell ref="A264:D264"/>
    <mergeCell ref="A265:F265"/>
    <mergeCell ref="A266:D266"/>
    <mergeCell ref="A267:D267"/>
    <mergeCell ref="A268:F268"/>
    <mergeCell ref="A269:D269"/>
    <mergeCell ref="A270:F270"/>
    <mergeCell ref="A271:D271"/>
    <mergeCell ref="A284:F284"/>
    <mergeCell ref="A288:F288"/>
    <mergeCell ref="A289:D289"/>
    <mergeCell ref="A290:D290"/>
    <mergeCell ref="A291:F291"/>
    <mergeCell ref="A292:D292"/>
    <mergeCell ref="A293:D293"/>
    <mergeCell ref="A294:F294"/>
    <mergeCell ref="A295:D295"/>
    <mergeCell ref="A296:F296"/>
    <mergeCell ref="A297:D297"/>
    <mergeCell ref="A310:F310"/>
    <mergeCell ref="A314:F314"/>
    <mergeCell ref="A315:D315"/>
    <mergeCell ref="A316:D316"/>
    <mergeCell ref="A317:F317"/>
    <mergeCell ref="A318:D318"/>
    <mergeCell ref="A319:D319"/>
    <mergeCell ref="A320:F320"/>
    <mergeCell ref="A321:D321"/>
    <mergeCell ref="A322:F322"/>
    <mergeCell ref="A323:D323"/>
    <mergeCell ref="A336:F336"/>
    <mergeCell ref="A340:F340"/>
    <mergeCell ref="A341:D341"/>
    <mergeCell ref="A342:D342"/>
    <mergeCell ref="A343:F343"/>
    <mergeCell ref="A344:D344"/>
    <mergeCell ref="A345:D345"/>
    <mergeCell ref="A346:F346"/>
    <mergeCell ref="A347:D347"/>
    <mergeCell ref="A348:F348"/>
    <mergeCell ref="A349:F349"/>
    <mergeCell ref="A363:F363"/>
    <mergeCell ref="A364:B364"/>
    <mergeCell ref="A365:F365"/>
    <mergeCell ref="A366:E366"/>
    <mergeCell ref="F366:G366"/>
    <mergeCell ref="A367:F367"/>
    <mergeCell ref="A368:G368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Calculadora Nómina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Memoria - Calculadora v2</dc:creator>
  <dc:title/>
  <dc:subject/>
  <dc:description/>
  <cp:keywords/>
  <cp:category/>
  <cp:lastModifiedBy>Unknown</cp:lastModifiedBy>
  <dcterms:created xsi:type="dcterms:W3CDTF">2026-05-20T06:42:30Z</dcterms:created>
  <dcterms:modified xsi:type="dcterms:W3CDTF">2026-05-20T06:42:30Z</dcterms:modified>
</cp:coreProperties>
</file>