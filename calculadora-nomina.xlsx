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dora Nómina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28" authorId="0">
      <text>
        <r>
          <t>Si dejas 0, calcula la paga prorrateada automáticamente</t>
        </r>
      </text>
    </comment>
  </commentList>
</comments>
</file>

<file path=xl/sharedStrings.xml><?xml version="1.0" encoding="utf-8"?>
<sst xmlns="http://schemas.openxmlformats.org/spreadsheetml/2006/main" count="56" uniqueCount="53">
  <si>
    <t>💰  Calculadora de Nómina</t>
  </si>
  <si>
    <t>Calculado</t>
  </si>
  <si>
    <t>Nombre</t>
  </si>
  <si>
    <t>Tu nombre</t>
  </si>
  <si>
    <t>Categoría profesional</t>
  </si>
  <si>
    <t>Ej: Técnico Grado Medio</t>
  </si>
  <si>
    <t>Convenio colectivo</t>
  </si>
  <si>
    <t>Ej: Convenio Metal</t>
  </si>
  <si>
    <t>Tipo de contrato</t>
  </si>
  <si>
    <t>Indefinido / Temporal</t>
  </si>
  <si>
    <t>Grupo de cotización SS</t>
  </si>
  <si>
    <t>1 (Ing.) – 11 (Peones)</t>
  </si>
  <si>
    <t>Salario base</t>
  </si>
  <si>
    <t>Complemento antigüedad</t>
  </si>
  <si>
    <t>Plus de convenio</t>
  </si>
  <si>
    <t>Complemento productividad</t>
  </si>
  <si>
    <t>Plus transporte</t>
  </si>
  <si>
    <t>Dietas / gastos empresa</t>
  </si>
  <si>
    <t>Otros complementos</t>
  </si>
  <si>
    <t>── Horas extra ──</t>
  </si>
  <si>
    <t xml:space="preserve">  Horas extra ordinarias</t>
  </si>
  <si>
    <t xml:space="preserve">  Precio hora extra ordinaria</t>
  </si>
  <si>
    <t xml:space="preserve">  Horas extra festivas</t>
  </si>
  <si>
    <t xml:space="preserve">  Precio hora extra festiva</t>
  </si>
  <si>
    <t xml:space="preserve">  TOTAL DEVENGADO BRUTO / MES</t>
  </si>
  <si>
    <t>Número de pagas extra al año</t>
  </si>
  <si>
    <t>Importe paga extra (bruto)</t>
  </si>
  <si>
    <t>Bonus / variable anual</t>
  </si>
  <si>
    <t>── IRPF ──</t>
  </si>
  <si>
    <t xml:space="preserve">  % retención IRPF (mensual)</t>
  </si>
  <si>
    <t>── Seguridad Social (trabajador) ──</t>
  </si>
  <si>
    <t xml:space="preserve">  Contingencias comunes (4,70%)</t>
  </si>
  <si>
    <t xml:space="preserve">  Desempleo (1,55%)</t>
  </si>
  <si>
    <t xml:space="preserve">  Formación profesional (0,10%)</t>
  </si>
  <si>
    <t xml:space="preserve">  MEI (0,13%)</t>
  </si>
  <si>
    <t xml:space="preserve">  TOTAL DEDUCCIONES / MES</t>
  </si>
  <si>
    <t>💡  Resumen mensual</t>
  </si>
  <si>
    <t>Salario bruto mensual</t>
  </si>
  <si>
    <t xml:space="preserve">  − IRPF</t>
  </si>
  <si>
    <t xml:space="preserve">  − Seguridad Social (trabajador)</t>
  </si>
  <si>
    <t>💳  NETO A COBRAR / MES</t>
  </si>
  <si>
    <t>Paga extra neta estimada</t>
  </si>
  <si>
    <t>Bonus / variable neto mensual</t>
  </si>
  <si>
    <t>📅  Proyección anual</t>
  </si>
  <si>
    <t>Bruto anual (12 mensualidades)</t>
  </si>
  <si>
    <t>+ Pagas extra brutas</t>
  </si>
  <si>
    <t>+ Bonus anual bruto</t>
  </si>
  <si>
    <t>BRUTO ANUAL TOTAL</t>
  </si>
  <si>
    <t>NETO ANUAL ESTIMADO</t>
  </si>
  <si>
    <t>🏢  Coste empresa (referencia)</t>
  </si>
  <si>
    <t xml:space="preserve">  SS empresa ~30,48% (indefinido)</t>
  </si>
  <si>
    <t xml:space="preserve">  COSTE TOTAL EMPRESA / MES</t>
  </si>
  <si>
    <t>⚠️  Las celdas en amarillo son editables. Los % de SS son los de 2025/2026. El IRPF varía según situación personal — consulta con tu empresa o gestor.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</si>
</sst>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€&quot;"/>
    <numFmt numFmtId="165" formatCode="0.00&quot;%&quot;"/>
  </numFmts>
  <fonts count="1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64748B"/>
      <sz val="9"/>
      <name val="Calibri"/>
    </font>
    <font>
      <color rgb="0F172A"/>
      <sz val="10"/>
      <name val="Calibri"/>
    </font>
    <font>
      <i/>
      <color rgb="64748B"/>
      <sz val="10"/>
      <name val="Calibri"/>
    </font>
    <font>
      <b/>
      <color rgb="4338CA"/>
      <sz val="10"/>
      <name val="Calibri"/>
    </font>
    <font>
      <color rgb="64748B"/>
      <sz val="10"/>
      <name val="Calibri"/>
    </font>
    <font>
      <b/>
      <color rgb="0F172A"/>
      <sz val="10"/>
      <name val="Calibri"/>
    </font>
    <font>
      <b/>
      <color rgb="FFFFFF"/>
      <sz val="11"/>
      <name val="Calibri"/>
    </font>
    <font>
      <b/>
      <color rgb="FFFFFF"/>
      <sz val="12"/>
      <name val="Calibri"/>
    </font>
    <font>
      <b/>
      <color rgb="92400E"/>
      <sz val="10"/>
      <name val="Calibri"/>
    </font>
    <font>
      <b/>
      <color rgb="DC2626"/>
      <sz val="10"/>
      <name val="Calibri"/>
    </font>
    <font>
      <b/>
      <color rgb="059669"/>
      <sz val="11"/>
      <name val="Calibri"/>
    </font>
    <font>
      <color rgb="DC2626"/>
      <sz val="10"/>
      <name val="Calibri"/>
    </font>
    <font>
      <b/>
      <color rgb="FFFFFF"/>
      <sz val="13"/>
      <name val="Calibri"/>
    </font>
    <font>
      <b/>
      <color rgb="FFFFFF"/>
      <sz val="14"/>
      <name val="Calibri"/>
    </font>
    <font>
      <b/>
      <color rgb="0369A1"/>
      <sz val="10"/>
      <name val="Calibri"/>
    </font>
    <font>
      <i/>
      <color rgb="78350F"/>
      <sz val="9"/>
      <name val="Calibri"/>
    </font>
  </fonts>
  <fills count="17">
    <fill>
      <patternFill patternType="none"/>
    </fill>
    <fill>
      <patternFill patternType="gray125"/>
    </fill>
    <fill>
      <patternFill patternType="solid">
        <fgColor rgb="6366F1"/>
      </patternFill>
    </fill>
    <fill>
      <patternFill patternType="solid">
        <fgColor rgb="F8FAFC"/>
      </patternFill>
    </fill>
    <fill>
      <patternFill patternType="solid">
        <fgColor rgb="4338CA"/>
      </patternFill>
    </fill>
    <fill>
      <patternFill patternType="solid">
        <fgColor rgb="FFFBEB"/>
      </patternFill>
    </fill>
    <fill>
      <patternFill patternType="solid">
        <fgColor rgb="FFFFFF"/>
      </patternFill>
    </fill>
    <fill>
      <patternFill patternType="solid">
        <fgColor rgb="7C3AED"/>
      </patternFill>
    </fill>
    <fill>
      <patternFill patternType="solid">
        <fgColor rgb="FEF3C7"/>
      </patternFill>
    </fill>
    <fill>
      <patternFill patternType="solid">
        <fgColor rgb="DC2626"/>
      </patternFill>
    </fill>
    <fill>
      <patternFill patternType="solid">
        <fgColor rgb="FEE2E2"/>
      </patternFill>
    </fill>
    <fill>
      <patternFill patternType="solid">
        <fgColor rgb="059669"/>
      </patternFill>
    </fill>
    <fill>
      <patternFill patternType="solid">
        <fgColor rgb="D1FAE5"/>
      </patternFill>
    </fill>
    <fill>
      <patternFill patternType="solid">
        <fgColor rgb="EDE9FE"/>
      </patternFill>
    </fill>
    <fill>
      <patternFill patternType="solid">
        <fgColor rgb="0EA5E9"/>
      </patternFill>
    </fill>
    <fill>
      <patternFill patternType="solid">
        <fgColor rgb="E0F2FE"/>
      </patternFill>
    </fill>
    <fill>
      <patternFill patternType="solid">
        <fgColor rgb="94A3B8"/>
      </patternFill>
    </fill>
  </fills>
  <borders count="4">
    <border>
      <left/>
      <right/>
      <top/>
      <bottom/>
      <diagonal/>
    </border>
    <border>
      <left style="thin">
        <color rgb="F59E0B"/>
      </left>
      <right style="thin">
        <color rgb="F59E0B"/>
      </right>
      <top style="thin">
        <color rgb="F59E0B"/>
      </top>
      <bottom style="thin">
        <color rgb="F59E0B"/>
      </bottom>
      <diagonal/>
    </border>
    <border>
      <left style="thin">
        <color rgb="6366F1"/>
      </left>
      <right style="thin">
        <color rgb="6366F1"/>
      </right>
      <top style="thin">
        <color rgb="6366F1"/>
      </top>
      <bottom style="thin">
        <color rgb="6366F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 applyAlignment="1">
      <alignment horizontal="right"/>
    </xf>
    <xf numFmtId="0" fontId="3" fillId="0" borderId="0" xfId="0" applyFont="1" applyAlignment="1">
      <alignment vertical="center" indent="1"/>
    </xf>
    <xf numFmtId="0" fontId="4" fillId="5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164" fontId="5" fillId="6" borderId="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 indent="1"/>
    </xf>
    <xf numFmtId="164" fontId="7" fillId="3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 indent="1"/>
    </xf>
    <xf numFmtId="164" fontId="9" fillId="2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right"/>
    </xf>
    <xf numFmtId="164" fontId="10" fillId="8" borderId="1" xfId="0" applyNumberFormat="1" applyFont="1" applyFill="1" applyBorder="1" applyAlignment="1">
      <alignment horizontal="right" vertical="center"/>
    </xf>
    <xf numFmtId="164" fontId="7" fillId="5" borderId="3" xfId="0" applyNumberFormat="1" applyFont="1" applyFill="1" applyBorder="1" applyAlignment="1">
      <alignment horizontal="right" vertical="center"/>
    </xf>
    <xf numFmtId="0" fontId="2" fillId="9" borderId="0" xfId="0" applyFont="1" applyFill="1" applyAlignment="1">
      <alignment horizontal="right"/>
    </xf>
    <xf numFmtId="165" fontId="5" fillId="6" borderId="2" xfId="0" applyNumberFormat="1" applyFont="1" applyFill="1" applyBorder="1" applyAlignment="1">
      <alignment horizontal="right" vertical="center"/>
    </xf>
    <xf numFmtId="164" fontId="11" fillId="10" borderId="3" xfId="0" applyNumberFormat="1" applyFont="1" applyFill="1" applyBorder="1" applyAlignment="1">
      <alignment horizontal="right" vertical="center"/>
    </xf>
    <xf numFmtId="165" fontId="6" fillId="0" borderId="0" xfId="0" applyNumberFormat="1" applyFont="1" applyAlignment="1">
      <alignment horizontal="right"/>
    </xf>
    <xf numFmtId="0" fontId="8" fillId="9" borderId="0" xfId="0" applyFont="1" applyFill="1" applyAlignment="1">
      <alignment horizontal="left" vertical="center" indent="1"/>
    </xf>
    <xf numFmtId="164" fontId="9" fillId="9" borderId="0" xfId="0" applyNumberFormat="1" applyFont="1" applyFill="1" applyAlignment="1">
      <alignment horizontal="right" vertical="center"/>
    </xf>
    <xf numFmtId="0" fontId="9" fillId="11" borderId="0" xfId="0" applyFont="1" applyFill="1" applyAlignment="1">
      <alignment horizontal="left" vertical="center" indent="1"/>
    </xf>
    <xf numFmtId="164" fontId="12" fillId="12" borderId="3" xfId="0" applyNumberFormat="1" applyFont="1" applyFill="1" applyBorder="1" applyAlignment="1">
      <alignment horizontal="right" vertical="center"/>
    </xf>
    <xf numFmtId="164" fontId="13" fillId="12" borderId="3" xfId="0" applyNumberFormat="1" applyFont="1" applyFill="1" applyBorder="1" applyAlignment="1">
      <alignment horizontal="right" vertical="center"/>
    </xf>
    <xf numFmtId="0" fontId="14" fillId="11" borderId="0" xfId="0" applyFont="1" applyFill="1" applyAlignment="1">
      <alignment horizontal="left" vertical="center" indent="1"/>
    </xf>
    <xf numFmtId="164" fontId="15" fillId="11" borderId="0" xfId="0" applyNumberFormat="1" applyFont="1" applyFill="1" applyAlignment="1">
      <alignment horizontal="right" vertical="center"/>
    </xf>
    <xf numFmtId="164" fontId="5" fillId="13" borderId="3" xfId="0" applyNumberFormat="1" applyFont="1" applyFill="1" applyBorder="1" applyAlignment="1">
      <alignment horizontal="right" vertical="center"/>
    </xf>
    <xf numFmtId="0" fontId="8" fillId="14" borderId="0" xfId="0" applyFont="1" applyFill="1" applyAlignment="1">
      <alignment horizontal="left" vertical="center" indent="1"/>
    </xf>
    <xf numFmtId="164" fontId="16" fillId="15" borderId="3" xfId="0" applyNumberFormat="1" applyFont="1" applyFill="1" applyBorder="1" applyAlignment="1">
      <alignment horizontal="right" vertical="center"/>
    </xf>
    <xf numFmtId="164" fontId="8" fillId="14" borderId="3" xfId="0" applyNumberFormat="1" applyFont="1" applyFill="1" applyBorder="1" applyAlignment="1">
      <alignment horizontal="right" vertical="center"/>
    </xf>
    <xf numFmtId="164" fontId="8" fillId="11" borderId="3" xfId="0" applyNumberFormat="1" applyFont="1" applyFill="1" applyBorder="1" applyAlignment="1">
      <alignment horizontal="right" vertical="center"/>
    </xf>
    <xf numFmtId="0" fontId="8" fillId="16" borderId="0" xfId="0" applyFont="1" applyFill="1" applyAlignment="1">
      <alignment horizontal="left" vertical="center" indent="1"/>
    </xf>
    <xf numFmtId="0" fontId="17" fillId="5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32" customWidth="1"/>
    <col min="3" max="4" width="16" customWidth="1"/>
    <col min="5" max="5" width="2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ht="6" customHeight="1" spans="1:5" x14ac:dyDescent="0.25">
      <c r="A3" s="2"/>
      <c r="B3" s="2"/>
      <c r="C3" s="2"/>
      <c r="D3" s="2"/>
      <c r="E3" s="2"/>
    </row>
    <row r="4" ht="22" customHeight="1" spans="1:5" x14ac:dyDescent="0.25">
      <c r="A4" s="3" t="s">
        <v>1</v>
      </c>
      <c r="B4" s="3"/>
      <c r="C4" s="3"/>
      <c r="D4" s="3"/>
      <c r="E4" s="3"/>
    </row>
    <row r="5" ht="20" customHeight="1" spans="2:3" x14ac:dyDescent="0.25">
      <c r="B5" s="4" t="s">
        <v>2</v>
      </c>
      <c r="C5" s="5" t="s">
        <v>3</v>
      </c>
    </row>
    <row r="6" ht="20" customHeight="1" spans="2:3" x14ac:dyDescent="0.25">
      <c r="B6" s="4" t="s">
        <v>4</v>
      </c>
      <c r="C6" s="5" t="s">
        <v>5</v>
      </c>
    </row>
    <row r="7" ht="20" customHeight="1" spans="2:3" x14ac:dyDescent="0.25">
      <c r="B7" s="4" t="s">
        <v>6</v>
      </c>
      <c r="C7" s="5" t="s">
        <v>7</v>
      </c>
    </row>
    <row r="8" ht="20" customHeight="1" spans="2:3" x14ac:dyDescent="0.25">
      <c r="B8" s="4" t="s">
        <v>8</v>
      </c>
      <c r="C8" s="5" t="s">
        <v>9</v>
      </c>
    </row>
    <row r="9" ht="20" customHeight="1" spans="2:3" x14ac:dyDescent="0.25">
      <c r="B9" s="4" t="s">
        <v>10</v>
      </c>
      <c r="C9" s="5" t="s">
        <v>11</v>
      </c>
    </row>
    <row r="10" ht="6" customHeight="1" spans="1:5" x14ac:dyDescent="0.25">
      <c r="A10" s="2"/>
      <c r="B10" s="2"/>
      <c r="C10" s="2"/>
      <c r="D10" s="2"/>
      <c r="E10" s="2"/>
    </row>
    <row r="11" ht="22" customHeight="1" spans="1:5" x14ac:dyDescent="0.25">
      <c r="A11" s="6" t="s">
        <v>1</v>
      </c>
      <c r="B11" s="6"/>
      <c r="C11" s="6"/>
      <c r="D11" s="6"/>
      <c r="E11" s="6"/>
    </row>
    <row r="12" ht="20" customHeight="1" spans="2:3" x14ac:dyDescent="0.25">
      <c r="B12" s="4" t="s">
        <v>12</v>
      </c>
      <c r="C12" s="7">
        <v>1500</v>
      </c>
    </row>
    <row r="13" ht="20" customHeight="1" spans="2:3" x14ac:dyDescent="0.25">
      <c r="B13" s="4" t="s">
        <v>13</v>
      </c>
      <c r="C13" s="7">
        <v>0</v>
      </c>
    </row>
    <row r="14" ht="20" customHeight="1" spans="2:3" x14ac:dyDescent="0.25">
      <c r="B14" s="4" t="s">
        <v>14</v>
      </c>
      <c r="C14" s="7">
        <v>0</v>
      </c>
    </row>
    <row r="15" ht="20" customHeight="1" spans="2:3" x14ac:dyDescent="0.25">
      <c r="B15" s="4" t="s">
        <v>15</v>
      </c>
      <c r="C15" s="7">
        <v>0</v>
      </c>
    </row>
    <row r="16" ht="20" customHeight="1" spans="2:3" x14ac:dyDescent="0.25">
      <c r="B16" s="4" t="s">
        <v>16</v>
      </c>
      <c r="C16" s="7">
        <v>0</v>
      </c>
    </row>
    <row r="17" ht="20" customHeight="1" spans="2:3" x14ac:dyDescent="0.25">
      <c r="B17" s="4" t="s">
        <v>17</v>
      </c>
      <c r="C17" s="7">
        <v>0</v>
      </c>
    </row>
    <row r="18" ht="20" customHeight="1" spans="2:3" x14ac:dyDescent="0.25">
      <c r="B18" s="4" t="s">
        <v>18</v>
      </c>
      <c r="C18" s="7">
        <v>0</v>
      </c>
    </row>
    <row r="19" ht="20" customHeight="1" spans="2:2" x14ac:dyDescent="0.25">
      <c r="B19" s="8" t="s">
        <v>19</v>
      </c>
    </row>
    <row r="20" ht="20" customHeight="1" spans="2:4" x14ac:dyDescent="0.25">
      <c r="B20" s="4" t="s">
        <v>20</v>
      </c>
      <c r="C20" s="7">
        <v>0</v>
      </c>
      <c r="D20" s="9">
        <f>C20*C22</f>
      </c>
    </row>
    <row r="21" ht="20" customHeight="1" spans="2:3" x14ac:dyDescent="0.25">
      <c r="B21" s="4" t="s">
        <v>21</v>
      </c>
      <c r="C21" s="7">
        <v>15</v>
      </c>
    </row>
    <row r="22" ht="20" customHeight="1" spans="2:4" x14ac:dyDescent="0.25">
      <c r="B22" s="4" t="s">
        <v>22</v>
      </c>
      <c r="C22" s="7">
        <v>0</v>
      </c>
      <c r="D22" s="9">
        <f>C22*C24</f>
      </c>
    </row>
    <row r="23" ht="20" customHeight="1" spans="2:3" x14ac:dyDescent="0.25">
      <c r="B23" s="4" t="s">
        <v>23</v>
      </c>
      <c r="C23" s="7">
        <v>22.5</v>
      </c>
    </row>
    <row r="24" ht="24" customHeight="1" spans="1:4" x14ac:dyDescent="0.25">
      <c r="B24" s="10" t="s">
        <v>24</v>
      </c>
      <c r="D24" s="11">
        <f>SUM(C6:C23)+C14+C16</f>
      </c>
    </row>
    <row r="25" ht="6" customHeight="1" spans="1:5" x14ac:dyDescent="0.25">
      <c r="A25" s="2"/>
      <c r="B25" s="2"/>
      <c r="C25" s="2"/>
      <c r="D25" s="2"/>
      <c r="E25" s="2"/>
    </row>
    <row r="26" ht="22" customHeight="1" spans="1:5" x14ac:dyDescent="0.25">
      <c r="A26" s="12" t="s">
        <v>1</v>
      </c>
      <c r="B26" s="12"/>
      <c r="C26" s="12"/>
      <c r="D26" s="12"/>
      <c r="E26" s="12"/>
    </row>
    <row r="27" ht="20" customHeight="1" spans="2:3" x14ac:dyDescent="0.25">
      <c r="B27" s="4" t="s">
        <v>25</v>
      </c>
      <c r="C27" s="7">
        <v>2</v>
      </c>
    </row>
    <row r="28" ht="20" customHeight="1" spans="2:4" x14ac:dyDescent="0.25">
      <c r="B28" s="4" t="s">
        <v>26</v>
      </c>
      <c r="C28" s="13">
        <v>0</v>
      </c>
      <c r="D28" s="14">
        <f>IF(C28=0,D24/12*C27,C28)</f>
      </c>
    </row>
    <row r="29" ht="20" customHeight="1" spans="2:4" x14ac:dyDescent="0.25">
      <c r="B29" s="4" t="s">
        <v>27</v>
      </c>
      <c r="C29" s="7">
        <v>0</v>
      </c>
      <c r="D29" s="9">
        <f>C29/12</f>
      </c>
    </row>
    <row r="30" ht="6" customHeight="1" spans="1:5" x14ac:dyDescent="0.25">
      <c r="A30" s="2"/>
      <c r="B30" s="2"/>
      <c r="C30" s="2"/>
      <c r="D30" s="2"/>
      <c r="E30" s="2"/>
    </row>
    <row r="31" ht="22" customHeight="1" spans="1:5" x14ac:dyDescent="0.25">
      <c r="A31" s="15" t="s">
        <v>1</v>
      </c>
      <c r="B31" s="15"/>
      <c r="C31" s="15"/>
      <c r="D31" s="15"/>
      <c r="E31" s="15"/>
    </row>
    <row r="32" ht="20" customHeight="1" spans="2:2" x14ac:dyDescent="0.25">
      <c r="B32" s="8" t="s">
        <v>28</v>
      </c>
    </row>
    <row r="33" ht="20" customHeight="1" spans="2:4" x14ac:dyDescent="0.25">
      <c r="B33" s="4" t="s">
        <v>29</v>
      </c>
      <c r="C33" s="16">
        <v>15</v>
      </c>
      <c r="D33" s="17">
        <f>D24*C33/100</f>
      </c>
    </row>
    <row r="34" ht="20" customHeight="1" spans="2:2" x14ac:dyDescent="0.25">
      <c r="B34" s="8" t="s">
        <v>30</v>
      </c>
    </row>
    <row r="35" ht="20" customHeight="1" spans="2:4" x14ac:dyDescent="0.25">
      <c r="B35" s="4" t="s">
        <v>31</v>
      </c>
      <c r="C35" s="18">
        <v>4.7</v>
      </c>
      <c r="D35" s="17">
        <f>D24*C35/100</f>
      </c>
    </row>
    <row r="36" ht="20" customHeight="1" spans="2:4" x14ac:dyDescent="0.25">
      <c r="B36" s="4" t="s">
        <v>32</v>
      </c>
      <c r="C36" s="18">
        <v>1.55</v>
      </c>
      <c r="D36" s="17">
        <f>D24*C36/100</f>
      </c>
    </row>
    <row r="37" ht="20" customHeight="1" spans="2:4" x14ac:dyDescent="0.25">
      <c r="B37" s="4" t="s">
        <v>33</v>
      </c>
      <c r="C37" s="18">
        <v>0.1</v>
      </c>
      <c r="D37" s="17">
        <f>D24*C37/100</f>
      </c>
    </row>
    <row r="38" ht="20" customHeight="1" spans="2:4" x14ac:dyDescent="0.25">
      <c r="B38" s="4" t="s">
        <v>34</v>
      </c>
      <c r="C38" s="18">
        <v>0.13</v>
      </c>
      <c r="D38" s="17">
        <f>D24*C38/100</f>
      </c>
    </row>
    <row r="39" ht="24" customHeight="1" spans="1:4" x14ac:dyDescent="0.25">
      <c r="B39" s="19" t="s">
        <v>35</v>
      </c>
      <c r="D39" s="20">
        <f>D33+D35+D36+D37+D38</f>
      </c>
    </row>
    <row r="40" ht="6" customHeight="1" spans="1:5" x14ac:dyDescent="0.25">
      <c r="A40" s="2"/>
      <c r="B40" s="2"/>
      <c r="C40" s="2"/>
      <c r="D40" s="2"/>
      <c r="E40" s="2"/>
    </row>
    <row r="41" ht="22" customHeight="1" spans="1:5" x14ac:dyDescent="0.25">
      <c r="A41" s="21" t="s">
        <v>36</v>
      </c>
      <c r="B41" s="21"/>
      <c r="C41" s="21"/>
      <c r="D41" s="21"/>
      <c r="E41" s="21"/>
    </row>
    <row r="42" ht="20" customHeight="1" spans="2:4" x14ac:dyDescent="0.25">
      <c r="B42" s="4" t="s">
        <v>37</v>
      </c>
      <c r="D42" s="22">
        <f>D24</f>
      </c>
    </row>
    <row r="43" ht="20" customHeight="1" spans="2:4" x14ac:dyDescent="0.25">
      <c r="B43" s="4" t="s">
        <v>38</v>
      </c>
      <c r="D43" s="23">
        <f>-D33</f>
      </c>
    </row>
    <row r="44" ht="20" customHeight="1" spans="2:4" x14ac:dyDescent="0.25">
      <c r="B44" s="4" t="s">
        <v>39</v>
      </c>
      <c r="D44" s="23">
        <f>-(D35+D36+D37+D38)</f>
      </c>
    </row>
    <row r="45" ht="28" customHeight="1" spans="1:4" x14ac:dyDescent="0.25">
      <c r="A45" s="24" t="s">
        <v>40</v>
      </c>
      <c r="B45" s="24"/>
      <c r="D45" s="25">
        <f>D24-D39</f>
      </c>
    </row>
    <row r="46" ht="6" customHeight="1" spans="1:5" x14ac:dyDescent="0.25">
      <c r="A46" s="2"/>
      <c r="B46" s="2"/>
      <c r="C46" s="2"/>
      <c r="D46" s="2"/>
      <c r="E46" s="2"/>
    </row>
    <row r="47" ht="20" customHeight="1" spans="2:4" x14ac:dyDescent="0.25">
      <c r="B47" s="4" t="s">
        <v>41</v>
      </c>
      <c r="D47" s="26">
        <f>D28*(1-C33/100-(C35+C36+C37+C38)/100)</f>
      </c>
    </row>
    <row r="48" ht="20" customHeight="1" spans="2:4" x14ac:dyDescent="0.25">
      <c r="B48" s="4" t="s">
        <v>42</v>
      </c>
      <c r="D48" s="26">
        <f>(C29/12)*(1-C33/100-(C35+C36+C37+C38)/100)</f>
      </c>
    </row>
    <row r="49" ht="6" customHeight="1" spans="1:5" x14ac:dyDescent="0.25">
      <c r="A49" s="2"/>
      <c r="B49" s="2"/>
      <c r="C49" s="2"/>
      <c r="D49" s="2"/>
      <c r="E49" s="2"/>
    </row>
    <row r="50" ht="22" customHeight="1" spans="1:5" x14ac:dyDescent="0.25">
      <c r="A50" s="27" t="s">
        <v>43</v>
      </c>
      <c r="B50" s="27"/>
      <c r="C50" s="27"/>
      <c r="D50" s="27"/>
      <c r="E50" s="27"/>
    </row>
    <row r="51" ht="20" customHeight="1" spans="2:4" x14ac:dyDescent="0.25">
      <c r="B51" s="4" t="s">
        <v>44</v>
      </c>
      <c r="D51" s="28">
        <f>D24*12</f>
      </c>
    </row>
    <row r="52" ht="20" customHeight="1" spans="2:4" x14ac:dyDescent="0.25">
      <c r="B52" s="4" t="s">
        <v>45</v>
      </c>
      <c r="D52" s="28">
        <f>D28*C27</f>
      </c>
    </row>
    <row r="53" ht="20" customHeight="1" spans="2:4" x14ac:dyDescent="0.25">
      <c r="B53" s="4" t="s">
        <v>46</v>
      </c>
      <c r="D53" s="28">
        <f>C29</f>
      </c>
    </row>
    <row r="54" ht="22" customHeight="1" spans="2:4" x14ac:dyDescent="0.25">
      <c r="B54" s="4" t="s">
        <v>47</v>
      </c>
      <c r="D54" s="29">
        <f>D51+D52+D53</f>
      </c>
    </row>
    <row r="55" ht="22" customHeight="1" spans="2:4" x14ac:dyDescent="0.25">
      <c r="B55" s="4" t="s">
        <v>48</v>
      </c>
      <c r="D55" s="30">
        <f>D45*12+D50*(1-C33/100-(C35+C36+C37+C38)/100)+C29*(1-C33/100-(C35+C36+C37+C38)/100)</f>
      </c>
    </row>
    <row r="56" ht="6" customHeight="1" spans="1:5" x14ac:dyDescent="0.25">
      <c r="A56" s="2"/>
      <c r="B56" s="2"/>
      <c r="C56" s="2"/>
      <c r="D56" s="2"/>
      <c r="E56" s="2"/>
    </row>
    <row r="57" ht="22" customHeight="1" spans="1:5" x14ac:dyDescent="0.25">
      <c r="A57" s="31" t="s">
        <v>49</v>
      </c>
      <c r="B57" s="31"/>
      <c r="C57" s="31"/>
      <c r="D57" s="31"/>
      <c r="E57" s="31"/>
    </row>
    <row r="58" ht="20" customHeight="1" spans="2:4" x14ac:dyDescent="0.25">
      <c r="B58" s="4" t="s">
        <v>50</v>
      </c>
      <c r="D58" s="9">
        <f>D24*0.3048</f>
      </c>
    </row>
    <row r="59" ht="20" customHeight="1" spans="2:4" x14ac:dyDescent="0.25">
      <c r="B59" s="4" t="s">
        <v>51</v>
      </c>
      <c r="D59" s="9">
        <f>D24+D58</f>
      </c>
    </row>
    <row r="60" ht="6" customHeight="1" spans="1:5" x14ac:dyDescent="0.25">
      <c r="A60" s="2"/>
      <c r="B60" s="2"/>
      <c r="C60" s="2"/>
      <c r="D60" s="2"/>
      <c r="E60" s="2"/>
    </row>
    <row r="61" ht="30" customHeight="1" spans="1:5" x14ac:dyDescent="0.25">
      <c r="A61" s="32" t="s">
        <v>52</v>
      </c>
      <c r="B61" s="32"/>
      <c r="C61" s="32"/>
      <c r="D61" s="32"/>
      <c r="E61" s="32"/>
    </row>
  </sheetData>
  <mergeCells count="19">
    <mergeCell ref="A1:E2"/>
    <mergeCell ref="A3:E3"/>
    <mergeCell ref="A4:E4"/>
    <mergeCell ref="A10:E10"/>
    <mergeCell ref="A11:E11"/>
    <mergeCell ref="A25:E25"/>
    <mergeCell ref="A26:E26"/>
    <mergeCell ref="A30:E30"/>
    <mergeCell ref="A31:E31"/>
    <mergeCell ref="A40:E40"/>
    <mergeCell ref="A41:E41"/>
    <mergeCell ref="A45:B45"/>
    <mergeCell ref="A46:E46"/>
    <mergeCell ref="A49:E49"/>
    <mergeCell ref="A50:E50"/>
    <mergeCell ref="A56:E56"/>
    <mergeCell ref="A57:E57"/>
    <mergeCell ref="A60:E60"/>
    <mergeCell ref="A61:E61"/>
  </mergeCells>
  <pageMargins left="0.7" right="0.7" top="0.75" bottom="0.75" header="0.3" footer="0.3"/>
  <pageSetup paperSize="9"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Calculadora 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Memoria</dc:creator>
  <dc:title/>
  <dc:subject/>
  <dc:description/>
  <cp:keywords/>
  <cp:category/>
  <cp:lastModifiedBy>Unknown</cp:lastModifiedBy>
  <dcterms:created xsi:type="dcterms:W3CDTF">2026-05-20T06:04:20Z</dcterms:created>
  <dcterms:modified xsi:type="dcterms:W3CDTF">2026-05-20T06:04:20Z</dcterms:modified>
</cp:coreProperties>
</file>