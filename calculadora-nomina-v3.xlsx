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<sst xmlns="http://schemas.openxmlformats.org/spreadsheetml/2006/main" count="156" uniqueCount="137">
  <si>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</si>
  <si>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</si>
  <si>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</si>
  <si>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</si>
  <si>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</si>
  <si>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</si>
  <si>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</si>
  <si>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</si>
  <si>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</si>
  <si>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</si>
  <si>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</si>
  <si>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</si>
  <si>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</si>
  <si>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</si>
  <si>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</si>
  <si>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</si>
  <si>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</si>
  <si>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</si>
  <si>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</si>
  <si>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</si>
  <si>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</si>
  <si>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</si>
  <si>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</si>
  <si>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</si>
  <si>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</si>
  <si>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</si>
  <si>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</si>
  <si>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</si>
  <si>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</si>
  <si>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</si>
  <si>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</si>
  <si>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</si>
  <si>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</si>
  <si>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</si>
  <si>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</si>
  <si>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</si>
  <si>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</si>
  <si>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</si>
  <si>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</si>
  <si>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</si>
  <si>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</si>
  <si>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</si>
  <si>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(bruto/día)</t>
  </si>
  <si>
    <t>Base CC + Art.7p  ← = C6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</si>
  <si>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</si>
  <si>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</si>
  <si>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</si>
  <si>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</si>
  <si>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</si>
  <si>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</si>
  <si>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</si>
  <si>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</si>
  <si>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</si>
  <si>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</si>
  <si>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</si>
  <si>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</si>
  <si>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</si>
  <si>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</si>
  <si>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</si>
  <si>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</si>
  <si>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</si>
  <si>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</si>
  <si>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</si>
  <si>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</si>
  <si>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</si>
  <si>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</si>
  <si>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Las celdas amarillas son editables. Introduce el importe en €.</t>
  </si>
  <si>
    <t>Salario Convenio</t>
  </si>
  <si>
    <t>SUJETO-CC</t>
  </si>
  <si>
    <t>Plus Actividad €</t>
  </si>
  <si>
    <t>Turnicidad €</t>
  </si>
  <si>
    <t>Nocturnidad €</t>
  </si>
  <si>
    <t>Plus frío / baja temp. €</t>
  </si>
  <si>
    <t>H. Disponibilidad €</t>
  </si>
  <si>
    <t>H. Disp. Festiva €</t>
  </si>
  <si>
    <t>H. Desplazamiento €</t>
  </si>
  <si>
    <t>CC + 7p</t>
  </si>
  <si>
    <t>H. Desp. Festivo €</t>
  </si>
  <si>
    <t>Días fuera €</t>
  </si>
  <si>
    <t>H. Extra Normal €</t>
  </si>
  <si>
    <t>HHEE + 7p</t>
  </si>
  <si>
    <t>H. Extra Festiva €</t>
  </si>
  <si>
    <t>🟢  EXENTOS — No cotizan SS ni retienen IRPF</t>
  </si>
  <si>
    <t>Dieta €</t>
  </si>
  <si>
    <t>EXENTO</t>
  </si>
  <si>
    <t>Tiquets €</t>
  </si>
  <si>
    <t>KM €</t>
  </si>
  <si>
    <t>⭐  PAGA EXTRA — Normalmente junio y diciembre. Pon el importe bruto en esos meses.</t>
  </si>
  <si>
    <t>Paga Extra € (importe bruto)</t>
  </si>
  <si>
    <t>PAGA EXTRA</t>
  </si>
  <si>
    <t>🔢  TOTALES CALCULADOS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</si>
  <si>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</si>
  <si>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</si>
  <si>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</si>
  <si>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</si>
  <si>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</si>
  <si>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</si>
  <si>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</si>
  <si>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</si>
  <si>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</si>
  <si>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</si>
  <si>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</si>
  <si>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</si>
  <si>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</si>
  <si>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</si>
  <si>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</si>
  <si>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</si>
  <si>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</si>
  <si>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</si>
  <si>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</si>
  <si>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</si>
  <si>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</si>
  <si>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</si>
  <si>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</si>
  <si>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</si>
  <si>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</si>
  <si>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Nº días fuera España (para 7p)</t>
  </si>
  <si>
    <t>input 7p</t>
  </si>
  <si>
    <t>Proporción salario días fuera</t>
  </si>
  <si>
    <t>7p</t>
  </si>
  <si>
    <t>Renta 7p (prop.sal + desp + días fuera €)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</si>
  <si>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</si>
  <si>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</si>
  <si>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</si>
  <si>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</si>
  <si>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</si>
  <si>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</si>
  <si>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</si>
  <si>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</si>
  <si>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Art.7p requiere trabajo físico en el extranjero y país destino con IRPF equivalente; consulta con gestor  |  Paga extra ⭐ = normalmente junio y diciembre; ponla en la fila "Paga Extra €" del mes correspondiente</t>
  </si>
  <si>
    <t>📊  RESUMEN ANUAL — Bruto y Neto total (con variables) vs Solo salario fijo (sin variables)</t>
  </si>
  <si>
    <t>💰  BRUTO ANUAL con variables  (devengado total: salario + extras + exentos + pagas)</t>
  </si>
  <si>
    <t xml:space="preserve">     Bruto anual sin variables  (solo salario × 12 + pagas extras)</t>
  </si>
  <si>
    <t xml:space="preserve">     Extra bruto generado por variables</t>
  </si>
  <si>
    <t>💳  NETO ANUAL con variables  (líquido total cobrado)</t>
  </si>
  <si>
    <t xml:space="preserve">     Neto anual sin variables  (solo salario fijo neto × 12 + neto pagas extras)</t>
  </si>
  <si>
    <t xml:space="preserve">     Extra neto generado por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</si>
</sst>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7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  <font>
      <b/>
      <color rgb="FFFFFF"/>
      <sz val="11"/>
      <name val="Calibri"/>
    </font>
    <font>
      <b/>
      <color rgb="4338CA"/>
      <sz val="14"/>
      <name val="Calibri"/>
    </font>
    <font>
      <color rgb="64748B"/>
      <sz val="11"/>
      <name val="Calibri"/>
    </font>
    <font>
      <color rgb="0F172A"/>
      <sz val="11"/>
      <name val="Calibri"/>
    </font>
    <font>
      <b/>
      <color rgb="0F172A"/>
      <sz val="10"/>
      <name val="Calibri"/>
    </font>
    <font>
      <b/>
      <color rgb="0F172A"/>
      <sz val="14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5" fillId="4" borderId="1" xfId="0" applyNumberFormat="1" applyFont="1" applyFill="1" applyBorder="1" applyAlignment="1">
      <alignment horizontal="right" vertical="center"/>
    </xf>
    <xf numFmtId="4" fontId="15" fillId="3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  <xf numFmtId="0" fontId="41" fillId="2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 indent="2"/>
    </xf>
    <xf numFmtId="164" fontId="42" fillId="5" borderId="2" xfId="0" applyNumberFormat="1" applyFont="1" applyFill="1" applyBorder="1" applyAlignment="1">
      <alignment horizontal="right" vertical="center"/>
    </xf>
    <xf numFmtId="0" fontId="15" fillId="3" borderId="0" xfId="0" applyFont="1" applyFill="1" applyAlignment="1">
      <alignment horizontal="left" vertical="center" indent="2"/>
    </xf>
    <xf numFmtId="164" fontId="43" fillId="3" borderId="2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left" vertical="center" indent="2"/>
    </xf>
    <xf numFmtId="164" fontId="44" fillId="3" borderId="2" xfId="0" applyNumberFormat="1" applyFont="1" applyFill="1" applyBorder="1" applyAlignment="1">
      <alignment horizontal="right" vertical="center"/>
    </xf>
    <xf numFmtId="0" fontId="45" fillId="10" borderId="0" xfId="0" applyFont="1" applyFill="1" applyAlignment="1">
      <alignment horizontal="left" vertical="center" indent="2"/>
    </xf>
    <xf numFmtId="164" fontId="46" fillId="10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7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25">
        <f>SUM(D9:O9)</f>
      </c>
    </row>
    <row r="10" ht="18" customHeight="1" spans="2:16" x14ac:dyDescent="0.25">
      <c r="B10" s="22" t="s">
        <v>71</v>
      </c>
      <c r="C10" s="23" t="s">
        <v>68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25">
        <f>SUM(D10:O10)</f>
      </c>
    </row>
    <row r="11" ht="18" customHeight="1" spans="2:16" x14ac:dyDescent="0.25">
      <c r="B11" s="22" t="s">
        <v>72</v>
      </c>
      <c r="C11" s="23" t="s">
        <v>68</v>
      </c>
      <c r="D11" s="6">
        <v>0</v>
      </c>
      <c r="E11" s="6">
        <v>261.12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25">
        <f>SUM(D11:O11)</f>
      </c>
    </row>
    <row r="12" ht="18" customHeight="1" spans="2:16" x14ac:dyDescent="0.25">
      <c r="B12" s="22" t="s">
        <v>73</v>
      </c>
      <c r="C12" s="23" t="s">
        <v>68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25">
        <f>SUM(D12:O12)</f>
      </c>
    </row>
    <row r="13" ht="18" customHeight="1" spans="2:16" x14ac:dyDescent="0.25">
      <c r="B13" s="22" t="s">
        <v>74</v>
      </c>
      <c r="C13" s="23" t="s">
        <v>68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25">
        <f>SUM(D13:O13)</f>
      </c>
    </row>
    <row r="14" ht="18" customHeight="1" spans="2:16" x14ac:dyDescent="0.25">
      <c r="B14" s="22" t="s">
        <v>75</v>
      </c>
      <c r="C14" s="26" t="s">
        <v>76</v>
      </c>
      <c r="D14" s="6">
        <v>0</v>
      </c>
      <c r="E14" s="6">
        <v>216.47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25">
        <f>SUM(D14:O14)</f>
      </c>
    </row>
    <row r="15" ht="18" customHeight="1" spans="2:16" x14ac:dyDescent="0.25">
      <c r="B15" s="22" t="s">
        <v>77</v>
      </c>
      <c r="C15" s="26" t="s">
        <v>76</v>
      </c>
      <c r="D15" s="6">
        <v>0</v>
      </c>
      <c r="E15" s="6">
        <v>228.24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25">
        <f>SUM(D15:O15)</f>
      </c>
    </row>
    <row r="16" ht="18" customHeight="1" spans="2:16" x14ac:dyDescent="0.25">
      <c r="B16" s="22" t="s">
        <v>78</v>
      </c>
      <c r="C16" s="26" t="s">
        <v>76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25">
        <f>SUM(D16:O16)</f>
      </c>
    </row>
    <row r="17" ht="18" customHeight="1" spans="2:16" x14ac:dyDescent="0.25">
      <c r="B17" s="22" t="s">
        <v>79</v>
      </c>
      <c r="C17" s="27" t="s">
        <v>80</v>
      </c>
      <c r="D17" s="6">
        <v>0</v>
      </c>
      <c r="E17" s="6">
        <v>474.48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25">
        <f>SUM(D17:O17)</f>
      </c>
    </row>
    <row r="18" ht="18" customHeight="1" spans="2:16" x14ac:dyDescent="0.25">
      <c r="B18" s="22" t="s">
        <v>81</v>
      </c>
      <c r="C18" s="27" t="s">
        <v>41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25">
        <f>SUM(D18:O18)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28" t="s">
        <v>82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ht="18" customHeight="1" spans="2:16" x14ac:dyDescent="0.25">
      <c r="B21" s="29" t="s">
        <v>83</v>
      </c>
      <c r="C21" s="30" t="s">
        <v>84</v>
      </c>
      <c r="D21" s="6">
        <v>0</v>
      </c>
      <c r="E21" s="6">
        <v>764.16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29" t="s">
        <v>85</v>
      </c>
      <c r="C22" s="30" t="s">
        <v>84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29" t="s">
        <v>86</v>
      </c>
      <c r="C23" s="30" t="s">
        <v>84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25">
        <f>SUM(D23:O23)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1" t="s">
        <v>87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ht="20" customHeight="1" spans="2:16" x14ac:dyDescent="0.25">
      <c r="B26" s="32" t="s">
        <v>88</v>
      </c>
      <c r="C26" s="33" t="s">
        <v>89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4" t="s">
        <v>91</v>
      </c>
      <c r="C29" s="35" t="s">
        <v>92</v>
      </c>
      <c r="D29" s="36">
        <f>D7+D8+D9+D10+D11+D12+D13+D14+D15+D16+D17+D18</f>
      </c>
      <c r="E29" s="36">
        <f>E7+E8+E9+E10+E11+E12+E13+E14+E15+E16+E17+E18</f>
      </c>
      <c r="F29" s="36">
        <f>F7+F8+F9+F10+F11+F12+F13+F14+F15+F16+F17+F18</f>
      </c>
      <c r="G29" s="36">
        <f>G7+G8+G9+G10+G11+G12+G13+G14+G15+G16+G17+G18</f>
      </c>
      <c r="H29" s="36">
        <f>H7+H8+H9+H10+H11+H12+H13+H14+H15+H16+H17+H18</f>
      </c>
      <c r="I29" s="36">
        <f>I7+I8+I9+I10+I11+I12+I13+I14+I15+I16+I17+I18</f>
      </c>
      <c r="J29" s="36">
        <f>J7+J8+J9+J10+J11+J12+J13+J14+J15+J16+J17+J18</f>
      </c>
      <c r="K29" s="36">
        <f>K7+K8+K9+K10+K11+K12+K13+K14+K15+K16+K17+K18</f>
      </c>
      <c r="L29" s="36">
        <f>L7+L8+L9+L10+L11+L12+L13+L14+L15+L16+L17+L18</f>
      </c>
      <c r="M29" s="36">
        <f>M7+M8+M9+M10+M11+M12+M13+M14+M15+M16+M17+M18</f>
      </c>
      <c r="N29" s="36">
        <f>N7+N8+N9+N10+N11+N12+N13+N14+N15+N16+N17+N18</f>
      </c>
      <c r="O29" s="36">
        <f>O7+O8+O9+O10+O11+O12+O13+O14+O15+O16+O17+O18</f>
      </c>
      <c r="P29" s="36">
        <f>SUM(D29:O29)</f>
      </c>
    </row>
    <row r="30" ht="18" customHeight="1" spans="2:16" x14ac:dyDescent="0.25">
      <c r="B30" s="37" t="s">
        <v>93</v>
      </c>
      <c r="C30" s="23" t="s">
        <v>94</v>
      </c>
      <c r="D30" s="38">
        <f>D17+D18</f>
      </c>
      <c r="E30" s="38">
        <f>E17+E18</f>
      </c>
      <c r="F30" s="38">
        <f>F17+F18</f>
      </c>
      <c r="G30" s="38">
        <f>G17+G18</f>
      </c>
      <c r="H30" s="38">
        <f>H17+H18</f>
      </c>
      <c r="I30" s="38">
        <f>I17+I18</f>
      </c>
      <c r="J30" s="38">
        <f>J17+J18</f>
      </c>
      <c r="K30" s="38">
        <f>K17+K18</f>
      </c>
      <c r="L30" s="38">
        <f>L17+L18</f>
      </c>
      <c r="M30" s="38">
        <f>M17+M18</f>
      </c>
      <c r="N30" s="38">
        <f>N17+N18</f>
      </c>
      <c r="O30" s="38">
        <f>O17+O18</f>
      </c>
      <c r="P30" s="25">
        <f>SUM(D30:O30)</f>
      </c>
    </row>
    <row r="31" ht="18" customHeight="1" spans="2:16" x14ac:dyDescent="0.25">
      <c r="B31" s="29" t="s">
        <v>95</v>
      </c>
      <c r="C31" s="30" t="s">
        <v>84</v>
      </c>
      <c r="D31" s="39">
        <f>D21+D22+D23</f>
      </c>
      <c r="E31" s="39">
        <f>E21+E22+E23</f>
      </c>
      <c r="F31" s="39">
        <f>F21+F22+F23</f>
      </c>
      <c r="G31" s="39">
        <f>G21+G22+G23</f>
      </c>
      <c r="H31" s="39">
        <f>H21+H22+H23</f>
      </c>
      <c r="I31" s="39">
        <f>I21+I22+I23</f>
      </c>
      <c r="J31" s="39">
        <f>J21+J22+J23</f>
      </c>
      <c r="K31" s="39">
        <f>K21+K22+K23</f>
      </c>
      <c r="L31" s="39">
        <f>L21+L22+L23</f>
      </c>
      <c r="M31" s="39">
        <f>M21+M22+M23</f>
      </c>
      <c r="N31" s="39">
        <f>N21+N22+N23</f>
      </c>
      <c r="O31" s="39">
        <f>O21+O22+O23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0" t="s">
        <v>96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</row>
    <row r="34" ht="18" customHeight="1" spans="2:16" x14ac:dyDescent="0.25">
      <c r="B34" s="41" t="s">
        <v>97</v>
      </c>
      <c r="D34" s="42">
        <f>D29-D30+Configuración!$C$7</f>
      </c>
      <c r="E34" s="42">
        <f>E29-E30+Configuración!$C$7</f>
      </c>
      <c r="F34" s="42">
        <f>F29-F30+Configuración!$C$7</f>
      </c>
      <c r="G34" s="42">
        <f>G29-G30+Configuración!$C$7</f>
      </c>
      <c r="H34" s="42">
        <f>H29-H30+Configuración!$C$7</f>
      </c>
      <c r="I34" s="42">
        <f>I29-I30+Configuración!$C$7</f>
      </c>
      <c r="J34" s="42">
        <f>J29-J30+Configuración!$C$7</f>
      </c>
      <c r="K34" s="42">
        <f>K29-K30+Configuración!$C$7</f>
      </c>
      <c r="L34" s="42">
        <f>L29-L30+Configuración!$C$7</f>
      </c>
      <c r="M34" s="42">
        <f>M29-M30+Configuración!$C$7</f>
      </c>
      <c r="N34" s="42">
        <f>N29-N30+Configuración!$C$7</f>
      </c>
      <c r="O34" s="42">
        <f>O29-O30+Configuración!$C$7</f>
      </c>
      <c r="P34" s="25">
        <f>SUM(D34:O34)</f>
      </c>
    </row>
    <row r="35" ht="18" customHeight="1" spans="2:16" x14ac:dyDescent="0.25">
      <c r="B35" s="41" t="s">
        <v>18</v>
      </c>
      <c r="D35" s="42">
        <f>D34+D30</f>
      </c>
      <c r="E35" s="42">
        <f>E34+E30</f>
      </c>
      <c r="F35" s="42">
        <f>F34+F30</f>
      </c>
      <c r="G35" s="42">
        <f>G34+G30</f>
      </c>
      <c r="H35" s="42">
        <f>H34+H30</f>
      </c>
      <c r="I35" s="42">
        <f>I34+I30</f>
      </c>
      <c r="J35" s="42">
        <f>J34+J30</f>
      </c>
      <c r="K35" s="42">
        <f>K34+K30</f>
      </c>
      <c r="L35" s="42">
        <f>L34+L30</f>
      </c>
      <c r="M35" s="42">
        <f>M34+M30</f>
      </c>
      <c r="N35" s="42">
        <f>N34+N30</f>
      </c>
      <c r="O35" s="42">
        <f>O34+O30</f>
      </c>
      <c r="P35" s="25">
        <f>SUM(D35:O35)</f>
      </c>
    </row>
    <row r="36" ht="18" customHeight="1" spans="2:16" x14ac:dyDescent="0.25">
      <c r="B36" s="43" t="s">
        <v>98</v>
      </c>
      <c r="C36" s="44" t="s">
        <v>99</v>
      </c>
      <c r="D36" s="45">
        <f>D34*Configuración!$C$12</f>
      </c>
      <c r="E36" s="45">
        <f>E34*Configuración!$C$12</f>
      </c>
      <c r="F36" s="45">
        <f>F34*Configuración!$C$12</f>
      </c>
      <c r="G36" s="45">
        <f>G34*Configuración!$C$12</f>
      </c>
      <c r="H36" s="45">
        <f>H34*Configuración!$C$12</f>
      </c>
      <c r="I36" s="45">
        <f>I34*Configuración!$C$12</f>
      </c>
      <c r="J36" s="45">
        <f>J34*Configuración!$C$12</f>
      </c>
      <c r="K36" s="45">
        <f>K34*Configuración!$C$12</f>
      </c>
      <c r="L36" s="45">
        <f>L34*Configuración!$C$12</f>
      </c>
      <c r="M36" s="45">
        <f>M34*Configuración!$C$12</f>
      </c>
      <c r="N36" s="45">
        <f>N34*Configuración!$C$12</f>
      </c>
      <c r="O36" s="45">
        <f>O34*Configuración!$C$12</f>
      </c>
      <c r="P36" s="25">
        <f>SUM(D36:O36)</f>
      </c>
    </row>
    <row r="37" ht="18" customHeight="1" spans="2:16" x14ac:dyDescent="0.25">
      <c r="B37" s="43" t="s">
        <v>100</v>
      </c>
      <c r="C37" s="44" t="s">
        <v>101</v>
      </c>
      <c r="D37" s="45">
        <f>D35*Configuración!$C$13</f>
      </c>
      <c r="E37" s="45">
        <f>E35*Configuración!$C$13</f>
      </c>
      <c r="F37" s="45">
        <f>F35*Configuración!$C$13</f>
      </c>
      <c r="G37" s="45">
        <f>G35*Configuración!$C$13</f>
      </c>
      <c r="H37" s="45">
        <f>H35*Configuración!$C$13</f>
      </c>
      <c r="I37" s="45">
        <f>I35*Configuración!$C$13</f>
      </c>
      <c r="J37" s="45">
        <f>J35*Configuración!$C$13</f>
      </c>
      <c r="K37" s="45">
        <f>K35*Configuración!$C$13</f>
      </c>
      <c r="L37" s="45">
        <f>L35*Configuración!$C$13</f>
      </c>
      <c r="M37" s="45">
        <f>M35*Configuración!$C$13</f>
      </c>
      <c r="N37" s="45">
        <f>N35*Configuración!$C$13</f>
      </c>
      <c r="O37" s="45">
        <f>O35*Configuración!$C$13</f>
      </c>
      <c r="P37" s="25">
        <f>SUM(D37:O37)</f>
      </c>
    </row>
    <row r="38" ht="18" customHeight="1" spans="2:16" x14ac:dyDescent="0.25">
      <c r="B38" s="43" t="s">
        <v>102</v>
      </c>
      <c r="C38" s="44" t="s">
        <v>99</v>
      </c>
      <c r="D38" s="45">
        <f>D30*Configuración!$C$14</f>
      </c>
      <c r="E38" s="45">
        <f>E30*Configuración!$C$14</f>
      </c>
      <c r="F38" s="45">
        <f>F30*Configuración!$C$14</f>
      </c>
      <c r="G38" s="45">
        <f>G30*Configuración!$C$14</f>
      </c>
      <c r="H38" s="45">
        <f>H30*Configuración!$C$14</f>
      </c>
      <c r="I38" s="45">
        <f>I30*Configuración!$C$14</f>
      </c>
      <c r="J38" s="45">
        <f>J30*Configuración!$C$14</f>
      </c>
      <c r="K38" s="45">
        <f>K30*Configuración!$C$14</f>
      </c>
      <c r="L38" s="45">
        <f>L30*Configuración!$C$14</f>
      </c>
      <c r="M38" s="45">
        <f>M30*Configuración!$C$14</f>
      </c>
      <c r="N38" s="45">
        <f>N30*Configuración!$C$14</f>
      </c>
      <c r="O38" s="45">
        <f>O30*Configuración!$C$14</f>
      </c>
      <c r="P38" s="25">
        <f>SUM(D38:O38)</f>
      </c>
    </row>
    <row r="39" ht="18" customHeight="1" spans="2:16" x14ac:dyDescent="0.25">
      <c r="B39" s="43" t="s">
        <v>103</v>
      </c>
      <c r="C39" s="44" t="s">
        <v>104</v>
      </c>
      <c r="D39" s="45">
        <f>D35*Configuración!$C$15</f>
      </c>
      <c r="E39" s="45">
        <f>E35*Configuración!$C$15</f>
      </c>
      <c r="F39" s="45">
        <f>F35*Configuración!$C$15</f>
      </c>
      <c r="G39" s="45">
        <f>G35*Configuración!$C$15</f>
      </c>
      <c r="H39" s="45">
        <f>H35*Configuración!$C$15</f>
      </c>
      <c r="I39" s="45">
        <f>I35*Configuración!$C$15</f>
      </c>
      <c r="J39" s="45">
        <f>J35*Configuración!$C$15</f>
      </c>
      <c r="K39" s="45">
        <f>K35*Configuración!$C$15</f>
      </c>
      <c r="L39" s="45">
        <f>L35*Configuración!$C$15</f>
      </c>
      <c r="M39" s="45">
        <f>M35*Configuración!$C$15</f>
      </c>
      <c r="N39" s="45">
        <f>N35*Configuración!$C$15</f>
      </c>
      <c r="O39" s="45">
        <f>O35*Configuración!$C$15</f>
      </c>
      <c r="P39" s="25">
        <f>SUM(D39:O39)</f>
      </c>
    </row>
    <row r="40" ht="22" customHeight="1" spans="2:16" x14ac:dyDescent="0.25">
      <c r="B40" s="46" t="s">
        <v>105</v>
      </c>
      <c r="D40" s="47">
        <f>D36+D37+D38+D39</f>
      </c>
      <c r="E40" s="47">
        <f>E36+E37+E38+E39</f>
      </c>
      <c r="F40" s="47">
        <f>F36+F37+F38+F39</f>
      </c>
      <c r="G40" s="47">
        <f>G36+G37+G38+G39</f>
      </c>
      <c r="H40" s="47">
        <f>H36+H37+H38+H39</f>
      </c>
      <c r="I40" s="47">
        <f>I36+I37+I38+I39</f>
      </c>
      <c r="J40" s="47">
        <f>J36+J37+J38+J39</f>
      </c>
      <c r="K40" s="47">
        <f>K36+K37+K38+K39</f>
      </c>
      <c r="L40" s="47">
        <f>L36+L37+L38+L39</f>
      </c>
      <c r="M40" s="47">
        <f>M36+M37+M38+M39</f>
      </c>
      <c r="N40" s="47">
        <f>N36+N37+N38+N39</f>
      </c>
      <c r="O40" s="47">
        <f>O36+O37+O38+O39</f>
      </c>
      <c r="P40" s="47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1" t="s">
        <v>106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</row>
    <row r="43" ht="18" customHeight="1" spans="2:16" x14ac:dyDescent="0.25">
      <c r="B43" s="32" t="s">
        <v>107</v>
      </c>
      <c r="D43" s="48">
        <f>D26*(Configuración!$C$12+Configuración!$C$13+Configuración!$C$15)</f>
      </c>
      <c r="E43" s="48">
        <f>E26*(Configuración!$C$12+Configuración!$C$13+Configuración!$C$15)</f>
      </c>
      <c r="F43" s="48">
        <f>F26*(Configuración!$C$12+Configuración!$C$13+Configuración!$C$15)</f>
      </c>
      <c r="G43" s="48">
        <f>G26*(Configuración!$C$12+Configuración!$C$13+Configuración!$C$15)</f>
      </c>
      <c r="H43" s="48">
        <f>H26*(Configuración!$C$12+Configuración!$C$13+Configuración!$C$15)</f>
      </c>
      <c r="I43" s="48">
        <f>I26*(Configuración!$C$12+Configuración!$C$13+Configuración!$C$15)</f>
      </c>
      <c r="J43" s="48">
        <f>J26*(Configuración!$C$12+Configuración!$C$13+Configuración!$C$15)</f>
      </c>
      <c r="K43" s="48">
        <f>K26*(Configuración!$C$12+Configuración!$C$13+Configuración!$C$15)</f>
      </c>
      <c r="L43" s="48">
        <f>L26*(Configuración!$C$12+Configuración!$C$13+Configuración!$C$15)</f>
      </c>
      <c r="M43" s="48">
        <f>M26*(Configuración!$C$12+Configuración!$C$13+Configuración!$C$15)</f>
      </c>
      <c r="N43" s="48">
        <f>N26*(Configuración!$C$12+Configuración!$C$13+Configuración!$C$15)</f>
      </c>
      <c r="O43" s="48">
        <f>O26*(Configuración!$C$12+Configuración!$C$13+Configuración!$C$15)</f>
      </c>
      <c r="P43" s="25">
        <f>SUM(D43:O43)</f>
      </c>
    </row>
    <row r="44" ht="18" customHeight="1" spans="2:16" x14ac:dyDescent="0.25">
      <c r="B44" s="32" t="s">
        <v>108</v>
      </c>
      <c r="D44" s="48">
        <f>D26*D4</f>
      </c>
      <c r="E44" s="48">
        <f>E26*E4</f>
      </c>
      <c r="F44" s="48">
        <f>F26*F4</f>
      </c>
      <c r="G44" s="48">
        <f>G26*G4</f>
      </c>
      <c r="H44" s="48">
        <f>H26*H4</f>
      </c>
      <c r="I44" s="48">
        <f>I26*I4</f>
      </c>
      <c r="J44" s="48">
        <f>J26*J4</f>
      </c>
      <c r="K44" s="48">
        <f>K26*K4</f>
      </c>
      <c r="L44" s="48">
        <f>L26*L4</f>
      </c>
      <c r="M44" s="48">
        <f>M26*M4</f>
      </c>
      <c r="N44" s="48">
        <f>N26*N4</f>
      </c>
      <c r="O44" s="48">
        <f>O26*O4</f>
      </c>
      <c r="P44" s="25">
        <f>SUM(D44:O44)</f>
      </c>
    </row>
    <row r="45" ht="20" customHeight="1" spans="2:16" x14ac:dyDescent="0.25">
      <c r="B45" s="49" t="s">
        <v>109</v>
      </c>
      <c r="D45" s="50">
        <f>D26-D43-D44</f>
      </c>
      <c r="E45" s="50">
        <f>E26-E43-E44</f>
      </c>
      <c r="F45" s="50">
        <f>F26-F43-F44</f>
      </c>
      <c r="G45" s="50">
        <f>G26-G43-G44</f>
      </c>
      <c r="H45" s="50">
        <f>H26-H43-H44</f>
      </c>
      <c r="I45" s="50">
        <f>I26-I43-I44</f>
      </c>
      <c r="J45" s="50">
        <f>J26-J43-J44</f>
      </c>
      <c r="K45" s="50">
        <f>K26-K43-K44</f>
      </c>
      <c r="L45" s="50">
        <f>L26-L43-L44</f>
      </c>
      <c r="M45" s="50">
        <f>M26-M43-M44</f>
      </c>
      <c r="N45" s="50">
        <f>N26-N43-N44</f>
      </c>
      <c r="O45" s="50">
        <f>O26-O43-O44</f>
      </c>
      <c r="P45" s="50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3" t="s">
        <v>110</v>
      </c>
      <c r="D47" s="45">
        <f>D29*D4</f>
      </c>
      <c r="E47" s="45">
        <f>E29*E4</f>
      </c>
      <c r="F47" s="45">
        <f>F29*F4</f>
      </c>
      <c r="G47" s="45">
        <f>G29*G4</f>
      </c>
      <c r="H47" s="45">
        <f>H29*H4</f>
      </c>
      <c r="I47" s="45">
        <f>I29*I4</f>
      </c>
      <c r="J47" s="45">
        <f>J29*J4</f>
      </c>
      <c r="K47" s="45">
        <f>K29*K4</f>
      </c>
      <c r="L47" s="45">
        <f>L29*L4</f>
      </c>
      <c r="M47" s="45">
        <f>M29*M4</f>
      </c>
      <c r="N47" s="45">
        <f>N29*N4</f>
      </c>
      <c r="O47" s="45">
        <f>O29*O4</f>
      </c>
      <c r="P47" s="25">
        <f>SUM(D47:O47)</f>
      </c>
    </row>
    <row r="48" ht="26" customHeight="1" spans="2:16" x14ac:dyDescent="0.25">
      <c r="B48" s="51" t="s">
        <v>111</v>
      </c>
      <c r="C48" s="52" t="s">
        <v>112</v>
      </c>
      <c r="D48" s="53">
        <f>D29+D31-D40-D47</f>
      </c>
      <c r="E48" s="53">
        <f>E29+E31-E40-E47</f>
      </c>
      <c r="F48" s="53">
        <f>F29+F31-F40-F47</f>
      </c>
      <c r="G48" s="53">
        <f>G29+G31-G40-G47</f>
      </c>
      <c r="H48" s="53">
        <f>H29+H31-H40-H47</f>
      </c>
      <c r="I48" s="53">
        <f>I29+I31-I40-I47</f>
      </c>
      <c r="J48" s="53">
        <f>J29+J31-J40-J47</f>
      </c>
      <c r="K48" s="53">
        <f>K29+K31-K40-K47</f>
      </c>
      <c r="L48" s="53">
        <f>L29+L31-L40-L47</f>
      </c>
      <c r="M48" s="53">
        <f>M29+M31-M40-M47</f>
      </c>
      <c r="N48" s="53">
        <f>N29+N31-N40-N47</f>
      </c>
      <c r="O48" s="53">
        <f>O29+O31-O40-O47</f>
      </c>
      <c r="P48" s="53">
        <f>SUM(D48:O48)</f>
      </c>
    </row>
    <row r="49" ht="28" customHeight="1" spans="2:16" x14ac:dyDescent="0.25">
      <c r="B49" s="51" t="s">
        <v>113</v>
      </c>
      <c r="C49" s="52" t="s">
        <v>114</v>
      </c>
      <c r="D49" s="53">
        <f>D48+D45</f>
      </c>
      <c r="E49" s="53">
        <f>E48+E45</f>
      </c>
      <c r="F49" s="53">
        <f>F48+F45</f>
      </c>
      <c r="G49" s="53">
        <f>G48+G45</f>
      </c>
      <c r="H49" s="53">
        <f>H48+H45</f>
      </c>
      <c r="I49" s="53">
        <f>I48+I45</f>
      </c>
      <c r="J49" s="53">
        <f>J48+J45</f>
      </c>
      <c r="K49" s="53">
        <f>K48+K45</f>
      </c>
      <c r="L49" s="53">
        <f>L48+L45</f>
      </c>
      <c r="M49" s="53">
        <f>M48+M45</f>
      </c>
      <c r="N49" s="53">
        <f>N48+N45</f>
      </c>
      <c r="O49" s="53">
        <f>O48+O45</f>
      </c>
      <c r="P49" s="53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4" t="s">
        <v>115</v>
      </c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</row>
    <row r="52" ht="18" customHeight="1" spans="2:16" x14ac:dyDescent="0.25">
      <c r="B52" s="55" t="s">
        <v>116</v>
      </c>
      <c r="C52" s="56" t="s">
        <v>117</v>
      </c>
      <c r="D52" s="57">
        <v>0</v>
      </c>
      <c r="E52" s="57">
        <v>0</v>
      </c>
      <c r="F52" s="57">
        <v>0</v>
      </c>
      <c r="G52" s="57">
        <v>0</v>
      </c>
      <c r="H52" s="57">
        <v>0</v>
      </c>
      <c r="I52" s="57">
        <v>0</v>
      </c>
      <c r="J52" s="57">
        <v>0</v>
      </c>
      <c r="K52" s="57">
        <v>0</v>
      </c>
      <c r="L52" s="57">
        <v>0</v>
      </c>
      <c r="M52" s="57">
        <v>0</v>
      </c>
      <c r="N52" s="57">
        <v>0</v>
      </c>
      <c r="O52" s="57">
        <v>0</v>
      </c>
      <c r="P52" s="58">
        <f>SUM(D52:O52)</f>
      </c>
    </row>
    <row r="53" ht="18" customHeight="1" spans="2:16" x14ac:dyDescent="0.25">
      <c r="B53" s="55" t="s">
        <v>118</v>
      </c>
      <c r="C53" s="56" t="s">
        <v>119</v>
      </c>
      <c r="D53" s="59">
        <f>(Configuración!$C$5/31)*D52</f>
      </c>
      <c r="E53" s="59">
        <f>(Configuración!$C$5/28)*E52</f>
      </c>
      <c r="F53" s="59">
        <f>(Configuración!$C$5/31)*F52</f>
      </c>
      <c r="G53" s="59">
        <f>(Configuración!$C$5/30)*G52</f>
      </c>
      <c r="H53" s="59">
        <f>(Configuración!$C$5/31)*H52</f>
      </c>
      <c r="I53" s="59">
        <f>(Configuración!$C$5/30)*I52</f>
      </c>
      <c r="J53" s="59">
        <f>(Configuración!$C$5/31)*J52</f>
      </c>
      <c r="K53" s="59">
        <f>(Configuración!$C$5/31)*K52</f>
      </c>
      <c r="L53" s="59">
        <f>(Configuración!$C$5/30)*L52</f>
      </c>
      <c r="M53" s="59">
        <f>(Configuración!$C$5/31)*M52</f>
      </c>
      <c r="N53" s="59">
        <f>(Configuración!$C$5/30)*N52</f>
      </c>
      <c r="O53" s="59">
        <f>(Configuración!$C$5/31)*O52</f>
      </c>
      <c r="P53" s="25">
        <f>SUM(D53:O53)</f>
      </c>
    </row>
    <row r="54" ht="20" customHeight="1" spans="2:16" x14ac:dyDescent="0.25">
      <c r="B54" s="60" t="s">
        <v>120</v>
      </c>
      <c r="C54" s="56" t="s">
        <v>121</v>
      </c>
      <c r="D54" s="61">
        <f>D53+D14+D15+D16</f>
      </c>
      <c r="E54" s="61">
        <f>E53+E14+E15+E16</f>
      </c>
      <c r="F54" s="61">
        <f>F53+F14+F15+F16</f>
      </c>
      <c r="G54" s="61">
        <f>G53+G14+G15+G16</f>
      </c>
      <c r="H54" s="61">
        <f>H53+H14+H15+H16</f>
      </c>
      <c r="I54" s="61">
        <f>I53+I14+I15+I16</f>
      </c>
      <c r="J54" s="61">
        <f>J53+J14+J15+J16</f>
      </c>
      <c r="K54" s="61">
        <f>K53+K14+K15+K16</f>
      </c>
      <c r="L54" s="61">
        <f>L53+L14+L15+L16</f>
      </c>
      <c r="M54" s="61">
        <f>M53+M14+M15+M16</f>
      </c>
      <c r="N54" s="61">
        <f>N53+N14+N15+N16</f>
      </c>
      <c r="O54" s="61">
        <f>O53+O14+O15+O16</f>
      </c>
      <c r="P54" s="61">
        <f>SUM(D54:O54)</f>
      </c>
    </row>
    <row r="55" ht="22" customHeight="1" spans="2:16" x14ac:dyDescent="0.25">
      <c r="B55" s="62" t="s">
        <v>122</v>
      </c>
      <c r="C55" s="63" t="s">
        <v>123</v>
      </c>
      <c r="D55" s="64">
        <f>D54*D4</f>
      </c>
      <c r="E55" s="64">
        <f>E54*E4</f>
      </c>
      <c r="F55" s="64">
        <f>F54*F4</f>
      </c>
      <c r="G55" s="64">
        <f>G54*G4</f>
      </c>
      <c r="H55" s="64">
        <f>H54*H4</f>
      </c>
      <c r="I55" s="64">
        <f>I54*I4</f>
      </c>
      <c r="J55" s="64">
        <f>J54*J4</f>
      </c>
      <c r="K55" s="64">
        <f>K54*K4</f>
      </c>
      <c r="L55" s="64">
        <f>L54*L4</f>
      </c>
      <c r="M55" s="64">
        <f>M54*M4</f>
      </c>
      <c r="N55" s="64">
        <f>N54*N4</f>
      </c>
      <c r="O55" s="64">
        <f>O54*O4</f>
      </c>
      <c r="P55" s="64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4" t="s">
        <v>124</v>
      </c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</row>
    <row r="58" ht="22" customHeight="1" spans="1:16" x14ac:dyDescent="0.25">
      <c r="A58" s="65" t="s">
        <v>125</v>
      </c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6">
        <f>SUM(D54:O54)</f>
      </c>
      <c r="O58" s="66"/>
      <c r="P58" s="66"/>
    </row>
    <row r="59" ht="22" customHeight="1" spans="1:16" x14ac:dyDescent="0.25">
      <c r="A59" s="65" t="s">
        <v>126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6">
        <v>60100</v>
      </c>
      <c r="O59" s="66"/>
      <c r="P59" s="66"/>
    </row>
    <row r="60" ht="22" customHeight="1" spans="1:16" x14ac:dyDescent="0.25">
      <c r="A60" s="65" t="s">
        <v>127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6">
        <f>60100-SUM(D54:O54)</f>
      </c>
      <c r="O60" s="66"/>
      <c r="P60" s="66"/>
    </row>
    <row r="61" ht="30" customHeight="1" spans="1:16" x14ac:dyDescent="0.25">
      <c r="A61" s="67" t="s">
        <v>128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8">
        <f>SUM(D55:O55)</f>
      </c>
      <c r="O61" s="68"/>
      <c r="P61" s="68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129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10" customHeight="1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24" customHeight="1" spans="1:16" x14ac:dyDescent="0.25">
      <c r="A65" s="69" t="s">
        <v>130</v>
      </c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</row>
    <row r="66" ht="30" customHeight="1" spans="1:16" x14ac:dyDescent="0.25">
      <c r="A66" s="70" t="s">
        <v>131</v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1">
        <f>SUM(D29:O29)+SUM(D31:O31)+SUM(D26:O26)</f>
      </c>
    </row>
    <row r="67" ht="22" customHeight="1" spans="1:16" x14ac:dyDescent="0.25">
      <c r="A67" s="72" t="s">
        <v>132</v>
      </c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3">
        <f>Configuración!$C$5*12+SUM(D26:O26)</f>
      </c>
    </row>
    <row r="68" ht="22" customHeight="1" spans="1:16" x14ac:dyDescent="0.25">
      <c r="A68" s="74" t="s">
        <v>133</v>
      </c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5">
        <f>(SUM(D29:O29)+SUM(D31:O31)+SUM(D26:O26))-(Configuración!$C$5*12+SUM(D26:O26))</f>
      </c>
    </row>
    <row r="69" ht="3" customHeight="1" spans="1:1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ht="30" customHeight="1" spans="1:16" x14ac:dyDescent="0.25">
      <c r="A70" s="76" t="s">
        <v>134</v>
      </c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7">
        <f>SUM(D49:O49)</f>
      </c>
    </row>
    <row r="71" ht="22" customHeight="1" spans="1:16" x14ac:dyDescent="0.25">
      <c r="A71" s="72" t="s">
        <v>135</v>
      </c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3">
        <f>Configuración!$C$5*12-(Configuración!$C$5*12+Configuración!$C$7*12)*(Configuración!$C$12+Configuración!$C$13+Configuración!$C$15)-Configuración!$C$5*12*Configuración!$C$18+SUM(D45:O45)</f>
      </c>
    </row>
    <row r="72" ht="22" customHeight="1" spans="1:16" x14ac:dyDescent="0.25">
      <c r="A72" s="74" t="s">
        <v>136</v>
      </c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5">
        <f>(SUM(D49:O49))-(Configuración!$C$5*12-(Configuración!$C$5*12+Configuración!$C$7*12)*(Configuración!$C$12+Configuración!$C$13+Configuración!$C$15)-Configuración!$C$5*12*Configuración!$C$18+SUM(D45:O45))</f>
      </c>
    </row>
    <row r="73" ht="8" customHeight="1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</sheetData>
  <mergeCells count="3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  <mergeCell ref="A64:P64"/>
    <mergeCell ref="A65:P65"/>
    <mergeCell ref="A66:O66"/>
    <mergeCell ref="A67:O67"/>
    <mergeCell ref="A68:O68"/>
    <mergeCell ref="A69:P69"/>
    <mergeCell ref="A70:O70"/>
    <mergeCell ref="A71:O71"/>
    <mergeCell ref="A72:O72"/>
    <mergeCell ref="A73:P7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2026-05-21T06:33:53Z</dcterms:created>
  <dcterms:modified xsi:type="dcterms:W3CDTF">2026-05-21T06:33:53Z</dcterms:modified>
</cp:coreProperties>
</file>