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culadora Nómina 2026" state="visible" r:id="rId4"/>
  </sheets>
  <calcPr calcId="171027"/>
</workbook>
</file>

<file path=xl/sharedStrings.xml><?xml version="1.0" encoding="utf-8"?>
<sst xmlns="http://schemas.openxmlformats.org/spreadsheetml/2006/main" count="897" uniqueCount="132">
  <si>
    <t>CALCULADORA NÓMINA 2026 — v3</t>
  </si>
  <si>
    <t>SS en bases separadas (Base CC y Base AT)  |  Artículo 7p: renta trabajos en extranjero potencialmente exenta de IRPF hasta 60.100€/año</t>
  </si>
  <si>
    <t>⚙️   CONFIGURACIÓN — Celdas amarillas = editables</t>
  </si>
  <si>
    <t/>
  </si>
  <si>
    <t>Parámetro</t>
  </si>
  <si>
    <t>Valor</t>
  </si>
  <si>
    <t>Salario Convenio mensual</t>
  </si>
  <si>
    <t>← salario base fijo mensual</t>
  </si>
  <si>
    <t>Bruto por día (días fuera)</t>
  </si>
  <si>
    <t>PRORRATA Y PLUSES BASE</t>
  </si>
  <si>
    <t xml:space="preserve">  Prorrata Pagas Extra en base SS</t>
  </si>
  <si>
    <t>← solo suma a Base CC/AT para SS; NO se cobra mensualmente. Si aparece en tu nómina, ponla (ej: 419,61€)</t>
  </si>
  <si>
    <t xml:space="preserve">  Plus Actividad por defecto</t>
  </si>
  <si>
    <t>← editable mes a mes en cada bloque</t>
  </si>
  <si>
    <t>SEGURIDAD SOCIAL — Tasas trabajador</t>
  </si>
  <si>
    <t>Concepto SS</t>
  </si>
  <si>
    <t>Tasa (%)</t>
  </si>
  <si>
    <t>Base de cálculo</t>
  </si>
  <si>
    <t xml:space="preserve">  CC (Contingencias Comunes)</t>
  </si>
  <si>
    <t>Base CC = sujeto sin HHEE + prorrata</t>
  </si>
  <si>
    <t xml:space="preserve">  Desempleo + FP</t>
  </si>
  <si>
    <t>Base AT = Base CC + HHEE</t>
  </si>
  <si>
    <t xml:space="preserve">  HH.EE. Normales</t>
  </si>
  <si>
    <t>Solo importe total Horas Extra</t>
  </si>
  <si>
    <t xml:space="preserve">  MEI</t>
  </si>
  <si>
    <t>Base AT (tasa exacta ≈ 0.1307%)</t>
  </si>
  <si>
    <t>IRPF por defecto (%)</t>
  </si>
  <si>
    <t>← 18.15% según nómina feb. Editable en col F de cada mes</t>
  </si>
  <si>
    <t>PRECIOS UNITARIOS DE VARIABLES</t>
  </si>
  <si>
    <t>Concepto</t>
  </si>
  <si>
    <t>Precio (€/unidad)</t>
  </si>
  <si>
    <t>Tipo SS</t>
  </si>
  <si>
    <t xml:space="preserve">  Turnicidad</t>
  </si>
  <si>
    <t>Base CC</t>
  </si>
  <si>
    <t xml:space="preserve">  Nocturnidad</t>
  </si>
  <si>
    <t xml:space="preserve">  Plus frío / baja temp.</t>
  </si>
  <si>
    <t xml:space="preserve">  H. Disponibilidad</t>
  </si>
  <si>
    <t xml:space="preserve">  H. Disponibilidad Fest.</t>
  </si>
  <si>
    <t xml:space="preserve">  H. Desplazamiento</t>
  </si>
  <si>
    <t>Base CC + Art.7p</t>
  </si>
  <si>
    <t xml:space="preserve">  H. Desp. Festivo</t>
  </si>
  <si>
    <t xml:space="preserve">  H. Extra Normal</t>
  </si>
  <si>
    <t>Base AT (HHEE)</t>
  </si>
  <si>
    <t xml:space="preserve">  H. Extra Festiva</t>
  </si>
  <si>
    <t xml:space="preserve">  Días fuera (bruto/día)</t>
  </si>
  <si>
    <t xml:space="preserve">  KM</t>
  </si>
  <si>
    <t>Exento</t>
  </si>
  <si>
    <t>ENERO 2026</t>
  </si>
  <si>
    <t>Días: 31</t>
  </si>
  <si>
    <t>CONCEPTO</t>
  </si>
  <si>
    <t>CANTIDAD</t>
  </si>
  <si>
    <t>€/UNIDAD</t>
  </si>
  <si>
    <t>TOTAL €</t>
  </si>
  <si>
    <t>TIPO</t>
  </si>
  <si>
    <t>Salario Convenio</t>
  </si>
  <si>
    <t>SUJETO-CC</t>
  </si>
  <si>
    <t xml:space="preserve">  Plus Actividad</t>
  </si>
  <si>
    <t>(directo)</t>
  </si>
  <si>
    <t>CC+7p</t>
  </si>
  <si>
    <t xml:space="preserve">  Días fuera</t>
  </si>
  <si>
    <t>── HORAS EXTRA (cotizan en base AT separada) ───────────────────────────</t>
  </si>
  <si>
    <t>HHEE-AT</t>
  </si>
  <si>
    <t>── EXENTOS (no cotizan SS ni IRPF) ─────────────────────────────────────</t>
  </si>
  <si>
    <t xml:space="preserve">  Dieta (importe directo)</t>
  </si>
  <si>
    <t>EXENTO</t>
  </si>
  <si>
    <t xml:space="preserve">  Tiquets (importe directo)</t>
  </si>
  <si>
    <t xml:space="preserve">  KM (km × 0,30€)</t>
  </si>
  <si>
    <t>BRUTO SUJETO (base IRPF = sujeto CC + HHEE)</t>
  </si>
  <si>
    <t>EXENTOS (dieta + tiquets + km)</t>
  </si>
  <si>
    <t>Total Horas Extra (HHEE)</t>
  </si>
  <si>
    <t>── COTIZACIÓN SEGURIDAD SOCIAL ───────────────────────────────────────────</t>
  </si>
  <si>
    <t xml:space="preserve">  Base CC = sujeto CC + prorrata ($C$10)</t>
  </si>
  <si>
    <t xml:space="preserve">  Base AT/Desempleo = Base CC + HHEE</t>
  </si>
  <si>
    <t>Base AT</t>
  </si>
  <si>
    <t xml:space="preserve">  (-) SS Contingencias Comunes</t>
  </si>
  <si>
    <t xml:space="preserve">  (-) SS Desempleo + FP</t>
  </si>
  <si>
    <t xml:space="preserve">  (-) SS Horas Extra</t>
  </si>
  <si>
    <t xml:space="preserve">  (-) SS MEI</t>
  </si>
  <si>
    <t>TOTAL SS TRABAJADOR</t>
  </si>
  <si>
    <t xml:space="preserve">  (-) Retención IRPF</t>
  </si>
  <si>
    <t>💳  LÍQUIDO A PERCIBIR (NETO)</t>
  </si>
  <si>
    <t>✓ v3</t>
  </si>
  <si>
    <t>🌍  ARTÍCULO 7p — Renta por trabajos en el extranjero (potencialmente exenta de IRPF) ─────────</t>
  </si>
  <si>
    <t xml:space="preserve">  Proporción salario días fuera España</t>
  </si>
  <si>
    <t xml:space="preserve">  Plus Desplazamiento</t>
  </si>
  <si>
    <t xml:space="preserve">  Plus Desplazamiento Festivo</t>
  </si>
  <si>
    <t xml:space="preserve">  Pago extra días fuera (bruto/día)</t>
  </si>
  <si>
    <t xml:space="preserve">  RENTA POTENCIALMENTE EXENTA (Art. 7p)</t>
  </si>
  <si>
    <t xml:space="preserve">  IRPF retenido sobre renta 7p (a reclamar en Renta)</t>
  </si>
  <si>
    <t>ℹ️  Art. 7p LIRPF: si los días fuera son en otro país con IRPF equivalente, esa renta puede estar exenta (límite 60.100€/año). El IRPF aquí retenido se recupera en la Declaración de la Renta. Consulta con gestor.</t>
  </si>
  <si>
    <t>FEBRERO 2026</t>
  </si>
  <si>
    <t>Días: 28</t>
  </si>
  <si>
    <t>MARZO 2026</t>
  </si>
  <si>
    <t>ABRIL 2026</t>
  </si>
  <si>
    <t>Días: 30</t>
  </si>
  <si>
    <t>MAYO 2026</t>
  </si>
  <si>
    <t>JUNIO 2026</t>
  </si>
  <si>
    <t>JULIO 2026</t>
  </si>
  <si>
    <t>AGOSTO 2026</t>
  </si>
  <si>
    <t>SEPTIEMBRE 2026</t>
  </si>
  <si>
    <t>OCTUBRE 2026</t>
  </si>
  <si>
    <t>NOVIEMBRE 2026</t>
  </si>
  <si>
    <t>DICIEMBRE 2026</t>
  </si>
  <si>
    <t>📅  RESUMEN ANUAL 2026</t>
  </si>
  <si>
    <t>MES</t>
  </si>
  <si>
    <t>Bruto Sujeto</t>
  </si>
  <si>
    <t>SS Total (−)</t>
  </si>
  <si>
    <t>IRPF (−)</t>
  </si>
  <si>
    <t>Exentos (+)</t>
  </si>
  <si>
    <t>NETO</t>
  </si>
  <si>
    <t>Renta 7p</t>
  </si>
  <si>
    <t>IRPF recup. 7p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</si>
  <si>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</si>
  <si>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</si>
  <si>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</si>
  <si>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</si>
  <si>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</si>
  <si>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</si>
  <si>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</si>
  <si>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</si>
  <si>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</si>
  <si>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</si>
  <si>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</si>
  <si>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</si>
  <si>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TOTALES ANUALES</t>
  </si>
  <si>
    <t>💳  NETO ANUAL TOTAL 2026</t>
  </si>
  <si>
    <t>🌍  ARTÍCULO 7p — Resumen anual</t>
  </si>
  <si>
    <t xml:space="preserve">  Renta exenta acumulada (Art. 7p)</t>
  </si>
  <si>
    <t xml:space="preserve">  Límite legal Art. 7p</t>
  </si>
  <si>
    <t xml:space="preserve">  Renta exenta restante hasta límite</t>
  </si>
  <si>
    <t xml:space="preserve">  IRPF retenido total a recuperar</t>
  </si>
  <si>
    <t>⚠️  Art. 7p: requiere que el trabajo se realice físicamente en el extranjero, el país destino tenga IRPF equivalente, y la empresa beneficiaria sea la entidad para la que trabajas. Consulta con tu gestor antes de aplicarlo en la Declaración de la Renta.  |  Prorrata pagas extra: ponla a 0 si no aparece en tu nómina, o al valor que muestre (ej: 419,61€) si aparece en la base de cotización.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</si>
</sst>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&quot;€&quot;"/>
  </numFmts>
  <fonts count="38" x14ac:knownFonts="1">
    <font>
      <color theme="1"/>
      <family val="2"/>
      <scheme val="minor"/>
      <sz val="11"/>
      <name val="Calibri"/>
    </font>
    <font>
      <b/>
      <color rgb="FFFFFF"/>
      <sz val="18"/>
      <name val="Calibri"/>
    </font>
    <font>
      <i/>
      <color rgb="78350F"/>
      <sz val="9"/>
      <name val="Calibri"/>
    </font>
    <font>
      <b/>
      <color rgb="FFFFFF"/>
      <sz val="11"/>
      <name val="Calibri"/>
    </font>
    <font>
      <b/>
      <color rgb="64748B"/>
      <sz val="9"/>
      <name val="Calibri"/>
    </font>
    <font>
      <b/>
      <color rgb="0F172A"/>
      <sz val="10"/>
      <name val="Calibri"/>
    </font>
    <font>
      <b/>
      <color rgb="4338CA"/>
      <sz val="10"/>
      <name val="Calibri"/>
    </font>
    <font>
      <i/>
      <color rgb="64748B"/>
      <sz val="9"/>
      <name val="Calibri"/>
    </font>
    <font>
      <color rgb="0F172A"/>
      <sz val="10"/>
      <name val="Calibri"/>
    </font>
    <font>
      <b/>
      <color rgb="FFFFFF"/>
      <sz val="9"/>
      <name val="Calibri"/>
    </font>
    <font>
      <color rgb="1D4ED8"/>
      <sz val="9"/>
      <name val="Calibri"/>
    </font>
    <font>
      <color rgb="7C2D12"/>
      <sz val="9"/>
      <name val="Calibri"/>
    </font>
    <font>
      <color rgb="065F46"/>
      <sz val="9"/>
      <name val="Calibri"/>
    </font>
    <font>
      <b/>
      <color rgb="FFFFFF"/>
      <sz val="12"/>
      <name val="Calibri"/>
    </font>
    <font>
      <color rgb="FFFFFF"/>
      <sz val="10"/>
      <name val="Calibri"/>
    </font>
    <font>
      <b/>
      <color rgb="1D4ED8"/>
      <sz val="9"/>
      <name val="Calibri"/>
    </font>
    <font>
      <b/>
      <color rgb="64748B"/>
      <sz val="10"/>
      <name val="Calibri"/>
    </font>
    <font>
      <b/>
      <color rgb="7C2D12"/>
      <sz val="9"/>
      <name val="Calibri"/>
    </font>
    <font>
      <b/>
      <i/>
      <color rgb="1D4ED8"/>
      <sz val="9"/>
      <name val="Calibri"/>
    </font>
    <font>
      <b/>
      <i/>
      <color rgb="065F46"/>
      <sz val="9"/>
      <name val="Calibri"/>
    </font>
    <font>
      <b/>
      <color rgb="065F46"/>
      <sz val="10"/>
      <name val="Calibri"/>
    </font>
    <font>
      <b/>
      <color rgb="065F46"/>
      <sz val="9"/>
      <name val="Calibri"/>
    </font>
    <font>
      <b/>
      <i/>
      <color rgb="DC2626"/>
      <sz val="9"/>
      <name val="Calibri"/>
    </font>
    <font>
      <color rgb="B91C1C"/>
      <sz val="9"/>
      <name val="Calibri"/>
    </font>
    <font>
      <b/>
      <color rgb="B91C1C"/>
      <sz val="9"/>
      <name val="Calibri"/>
    </font>
    <font>
      <color rgb="DC2626"/>
      <sz val="10"/>
      <name val="Calibri"/>
    </font>
    <font>
      <b/>
      <color rgb="DC2626"/>
      <sz val="10"/>
      <name val="Calibri"/>
    </font>
    <font>
      <b/>
      <color rgb="FFFFFF"/>
      <sz val="10"/>
      <name val="Calibri"/>
    </font>
    <font>
      <b/>
      <color rgb="FFFFFF"/>
      <sz val="13"/>
      <name val="Calibri"/>
    </font>
    <font>
      <b/>
      <color rgb="D1FAE5"/>
      <sz val="9"/>
      <name val="Calibri"/>
    </font>
    <font>
      <b/>
      <color rgb="7C2D12"/>
      <sz val="10"/>
      <name val="Calibri"/>
    </font>
    <font>
      <i/>
      <color rgb="7C2D12"/>
      <sz val="8"/>
      <name val="Calibri"/>
    </font>
    <font>
      <b/>
      <color rgb="059669"/>
      <sz val="11"/>
      <name val="Calibri"/>
    </font>
    <font>
      <b/>
      <color rgb="FFFFFF"/>
      <sz val="14"/>
      <name val="Calibri"/>
    </font>
    <font>
      <b/>
      <color rgb="FFFFFF"/>
      <sz val="16"/>
      <name val="Calibri"/>
    </font>
    <font>
      <color rgb="7C2D12"/>
      <sz val="11"/>
      <name val="Calibri"/>
    </font>
    <font>
      <b/>
      <color rgb="7C2D12"/>
      <sz val="11"/>
      <name val="Calibri"/>
    </font>
    <font>
      <b/>
      <color rgb="7C2D12"/>
      <sz val="14"/>
      <name val="Calibri"/>
    </font>
  </fonts>
  <fills count="17">
    <fill>
      <patternFill patternType="none"/>
    </fill>
    <fill>
      <patternFill patternType="gray125"/>
    </fill>
    <fill>
      <patternFill patternType="solid">
        <fgColor rgb="4338CA"/>
      </patternFill>
    </fill>
    <fill>
      <patternFill patternType="solid">
        <fgColor rgb="FFFBEB"/>
      </patternFill>
    </fill>
    <fill>
      <patternFill patternType="solid">
        <fgColor rgb="F8FAFC"/>
      </patternFill>
    </fill>
    <fill>
      <patternFill patternType="solid">
        <fgColor rgb="EDE9FE"/>
      </patternFill>
    </fill>
    <fill>
      <patternFill patternType="solid">
        <fgColor rgb="6366F1"/>
      </patternFill>
    </fill>
    <fill>
      <patternFill patternType="solid">
        <fgColor rgb="EFF6FF"/>
      </patternFill>
    </fill>
    <fill>
      <patternFill patternType="solid">
        <fgColor rgb="D1FAE5"/>
      </patternFill>
    </fill>
    <fill>
      <patternFill patternType="solid">
        <fgColor rgb="E2E8F0"/>
      </patternFill>
    </fill>
    <fill>
      <patternFill patternType="solid">
        <fgColor rgb="FEE2E2"/>
      </patternFill>
    </fill>
    <fill>
      <patternFill patternType="solid">
        <fgColor rgb="DC2626"/>
      </patternFill>
    </fill>
    <fill>
      <patternFill patternType="solid">
        <fgColor rgb="059669"/>
      </patternFill>
    </fill>
    <fill>
      <patternFill patternType="solid">
        <fgColor rgb="FFF7ED"/>
      </patternFill>
    </fill>
    <fill>
      <patternFill patternType="solid">
        <fgColor rgb="EA580C"/>
      </patternFill>
    </fill>
    <fill>
      <patternFill patternType="solid">
        <fgColor rgb="FFFFFF"/>
      </patternFill>
    </fill>
    <fill>
      <patternFill patternType="solid">
        <fgColor rgb="FFF0E6"/>
      </patternFill>
    </fill>
  </fills>
  <borders count="6">
    <border>
      <left/>
      <right/>
      <top/>
      <bottom/>
      <diagonal/>
    </border>
    <border>
      <left style="thin">
        <color rgb="F59E0B"/>
      </left>
      <right style="thin">
        <color rgb="F59E0B"/>
      </right>
      <top style="thin">
        <color rgb="F59E0B"/>
      </top>
      <bottom style="thin">
        <color rgb="F59E0B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059669"/>
      </left>
      <right style="thin">
        <color rgb="059669"/>
      </right>
      <top style="thin">
        <color rgb="059669"/>
      </top>
      <bottom style="thin">
        <color rgb="059669"/>
      </bottom>
      <diagonal/>
    </border>
    <border>
      <left style="thin">
        <color rgb="6366F1"/>
      </left>
      <right style="thin">
        <color rgb="6366F1"/>
      </right>
      <top style="thin">
        <color rgb="6366F1"/>
      </top>
      <bottom style="thin">
        <color rgb="6366F1"/>
      </bottom>
      <diagonal/>
    </border>
    <border>
      <left style="thin">
        <color rgb="EA580C"/>
      </left>
      <right style="thin">
        <color rgb="EA580C"/>
      </right>
      <top style="thin">
        <color rgb="EA580C"/>
      </top>
      <bottom style="thin">
        <color rgb="EA580C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/>
    <xf numFmtId="0" fontId="3" fillId="2" borderId="0" xfId="0" applyFont="1" applyFill="1" applyAlignment="1">
      <alignment horizontal="left" vertical="center" inden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vertical="center" indent="1"/>
    </xf>
    <xf numFmtId="164" fontId="6" fillId="3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indent="1"/>
    </xf>
    <xf numFmtId="0" fontId="8" fillId="0" borderId="0" xfId="0" applyFont="1" applyAlignment="1">
      <alignment vertical="center" indent="1"/>
    </xf>
    <xf numFmtId="0" fontId="0" fillId="5" borderId="0" xfId="0" applyFill="1"/>
    <xf numFmtId="0" fontId="6" fillId="0" borderId="0" xfId="0" applyFont="1" applyAlignment="1">
      <alignment vertical="center" indent="1"/>
    </xf>
    <xf numFmtId="0" fontId="8" fillId="0" borderId="0" xfId="0" applyFont="1" applyAlignment="1">
      <alignment vertical="center" indent="2"/>
    </xf>
    <xf numFmtId="0" fontId="7" fillId="0" borderId="0" xfId="0" applyFont="1" applyAlignment="1">
      <alignment wrapText="1" indent="1"/>
    </xf>
    <xf numFmtId="0" fontId="9" fillId="6" borderId="0" xfId="0" applyFont="1" applyFill="1" applyAlignment="1">
      <alignment horizontal="left" vertical="center"/>
    </xf>
    <xf numFmtId="0" fontId="9" fillId="6" borderId="0" xfId="0" applyFont="1" applyFill="1" applyAlignment="1">
      <alignment horizontal="left" vertical="center" indent="1"/>
    </xf>
    <xf numFmtId="0" fontId="9" fillId="6" borderId="0" xfId="0" applyFont="1" applyFill="1" applyAlignment="1">
      <alignment horizontal="center" vertical="center"/>
    </xf>
    <xf numFmtId="10" fontId="6" fillId="3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2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 indent="1"/>
    </xf>
    <xf numFmtId="0" fontId="4" fillId="4" borderId="0" xfId="0" applyFont="1" applyFill="1" applyAlignment="1">
      <alignment horizontal="center" vertical="center"/>
    </xf>
    <xf numFmtId="164" fontId="5" fillId="4" borderId="2" xfId="0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4" fontId="6" fillId="3" borderId="1" xfId="0" applyNumberFormat="1" applyFont="1" applyFill="1" applyBorder="1" applyAlignment="1">
      <alignment horizontal="right" vertical="center"/>
    </xf>
    <xf numFmtId="164" fontId="16" fillId="4" borderId="2" xfId="0" applyNumberFormat="1" applyFont="1" applyFill="1" applyBorder="1" applyAlignment="1">
      <alignment horizontal="right" vertical="center"/>
    </xf>
    <xf numFmtId="0" fontId="17" fillId="0" borderId="0" xfId="0" applyFont="1" applyAlignment="1">
      <alignment horizontal="center" vertical="center"/>
    </xf>
    <xf numFmtId="0" fontId="18" fillId="7" borderId="0" xfId="0" applyFont="1" applyFill="1" applyAlignment="1">
      <alignment horizontal="left" vertical="center" indent="1"/>
    </xf>
    <xf numFmtId="0" fontId="19" fillId="8" borderId="0" xfId="0" applyFont="1" applyFill="1" applyAlignment="1">
      <alignment horizontal="left" vertical="center" indent="1"/>
    </xf>
    <xf numFmtId="164" fontId="20" fillId="8" borderId="2" xfId="0" applyNumberFormat="1" applyFont="1" applyFill="1" applyBorder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0" fillId="9" borderId="0" xfId="0" applyFill="1"/>
    <xf numFmtId="0" fontId="6" fillId="5" borderId="0" xfId="0" applyFont="1" applyFill="1" applyAlignment="1">
      <alignment horizontal="left" vertical="center" indent="2"/>
    </xf>
    <xf numFmtId="164" fontId="6" fillId="5" borderId="2" xfId="0" applyNumberFormat="1" applyFont="1" applyFill="1" applyBorder="1" applyAlignment="1">
      <alignment horizontal="right" vertical="center"/>
    </xf>
    <xf numFmtId="0" fontId="20" fillId="8" borderId="0" xfId="0" applyFont="1" applyFill="1" applyAlignment="1">
      <alignment horizontal="left" vertical="center" indent="2"/>
    </xf>
    <xf numFmtId="0" fontId="10" fillId="7" borderId="0" xfId="0" applyFont="1" applyFill="1" applyAlignment="1">
      <alignment horizontal="left" vertical="center" indent="2"/>
    </xf>
    <xf numFmtId="164" fontId="10" fillId="7" borderId="2" xfId="0" applyNumberFormat="1" applyFont="1" applyFill="1" applyBorder="1" applyAlignment="1">
      <alignment horizontal="right" vertical="center"/>
    </xf>
    <xf numFmtId="0" fontId="22" fillId="10" borderId="0" xfId="0" applyFont="1" applyFill="1" applyAlignment="1">
      <alignment horizontal="left" vertical="center" indent="1"/>
    </xf>
    <xf numFmtId="0" fontId="23" fillId="10" borderId="0" xfId="0" applyFont="1" applyFill="1" applyAlignment="1">
      <alignment horizontal="left" vertical="center" indent="2"/>
    </xf>
    <xf numFmtId="164" fontId="23" fillId="10" borderId="2" xfId="0" applyNumberFormat="1" applyFont="1" applyFill="1" applyBorder="1" applyAlignment="1">
      <alignment horizontal="right" vertical="center"/>
    </xf>
    <xf numFmtId="0" fontId="24" fillId="0" borderId="0" xfId="0" applyFont="1" applyAlignment="1">
      <alignment horizontal="center" vertical="center"/>
    </xf>
    <xf numFmtId="0" fontId="25" fillId="10" borderId="0" xfId="0" applyFont="1" applyFill="1" applyAlignment="1">
      <alignment horizontal="left" vertical="center" indent="3"/>
    </xf>
    <xf numFmtId="10" fontId="26" fillId="10" borderId="2" xfId="0" applyNumberFormat="1" applyFont="1" applyFill="1" applyBorder="1" applyAlignment="1">
      <alignment horizontal="right" vertical="center"/>
    </xf>
    <xf numFmtId="164" fontId="26" fillId="10" borderId="2" xfId="0" applyNumberFormat="1" applyFont="1" applyFill="1" applyBorder="1" applyAlignment="1">
      <alignment horizontal="right" vertical="center"/>
    </xf>
    <xf numFmtId="0" fontId="27" fillId="11" borderId="0" xfId="0" applyFont="1" applyFill="1" applyAlignment="1">
      <alignment horizontal="left" vertical="center" indent="2"/>
    </xf>
    <xf numFmtId="164" fontId="27" fillId="11" borderId="2" xfId="0" applyNumberFormat="1" applyFont="1" applyFill="1" applyBorder="1" applyAlignment="1">
      <alignment horizontal="right" vertical="center"/>
    </xf>
    <xf numFmtId="0" fontId="26" fillId="10" borderId="0" xfId="0" applyFont="1" applyFill="1" applyAlignment="1">
      <alignment horizontal="left" vertical="center" indent="3"/>
    </xf>
    <xf numFmtId="0" fontId="28" fillId="12" borderId="0" xfId="0" applyFont="1" applyFill="1" applyAlignment="1">
      <alignment horizontal="left" vertical="center" indent="1"/>
    </xf>
    <xf numFmtId="164" fontId="28" fillId="12" borderId="3" xfId="0" applyNumberFormat="1" applyFont="1" applyFill="1" applyBorder="1" applyAlignment="1">
      <alignment horizontal="right" vertical="center"/>
    </xf>
    <xf numFmtId="0" fontId="29" fillId="12" borderId="0" xfId="0" applyFont="1" applyFill="1" applyAlignment="1">
      <alignment horizontal="center" vertical="center"/>
    </xf>
    <xf numFmtId="0" fontId="17" fillId="13" borderId="0" xfId="0" applyFont="1" applyFill="1" applyAlignment="1">
      <alignment horizontal="left" vertical="center" indent="1"/>
    </xf>
    <xf numFmtId="0" fontId="11" fillId="13" borderId="0" xfId="0" applyFont="1" applyFill="1" applyAlignment="1">
      <alignment horizontal="left" vertical="center" indent="3"/>
    </xf>
    <xf numFmtId="164" fontId="11" fillId="13" borderId="2" xfId="0" applyNumberFormat="1" applyFont="1" applyFill="1" applyBorder="1" applyAlignment="1">
      <alignment horizontal="right" vertical="center"/>
    </xf>
    <xf numFmtId="0" fontId="30" fillId="13" borderId="0" xfId="0" applyFont="1" applyFill="1" applyAlignment="1">
      <alignment horizontal="left" vertical="center" indent="2"/>
    </xf>
    <xf numFmtId="164" fontId="30" fillId="13" borderId="2" xfId="0" applyNumberFormat="1" applyFont="1" applyFill="1" applyBorder="1" applyAlignment="1">
      <alignment horizontal="right" vertical="center"/>
    </xf>
    <xf numFmtId="0" fontId="30" fillId="13" borderId="0" xfId="0" applyFont="1" applyFill="1" applyAlignment="1">
      <alignment horizontal="left" vertical="center" indent="3"/>
    </xf>
    <xf numFmtId="10" fontId="30" fillId="13" borderId="2" xfId="0" applyNumberFormat="1" applyFont="1" applyFill="1" applyBorder="1" applyAlignment="1">
      <alignment horizontal="right" vertical="center"/>
    </xf>
    <xf numFmtId="0" fontId="31" fillId="13" borderId="0" xfId="0" applyFont="1" applyFill="1" applyAlignment="1">
      <alignment horizontal="left" vertical="center" wrapText="1" indent="1"/>
    </xf>
    <xf numFmtId="0" fontId="28" fillId="2" borderId="0" xfId="0" applyFont="1" applyFill="1" applyAlignment="1">
      <alignment horizontal="left" vertical="center" indent="1"/>
    </xf>
    <xf numFmtId="0" fontId="9" fillId="14" borderId="0" xfId="0" applyFont="1" applyFill="1" applyAlignment="1">
      <alignment horizontal="center" vertical="center"/>
    </xf>
    <xf numFmtId="0" fontId="5" fillId="15" borderId="0" xfId="0" applyFont="1" applyFill="1" applyAlignment="1">
      <alignment vertical="center" indent="1"/>
    </xf>
    <xf numFmtId="164" fontId="5" fillId="15" borderId="2" xfId="0" applyNumberFormat="1" applyFont="1" applyFill="1" applyBorder="1" applyAlignment="1">
      <alignment horizontal="right" vertical="center"/>
    </xf>
    <xf numFmtId="164" fontId="26" fillId="15" borderId="2" xfId="0" applyNumberFormat="1" applyFont="1" applyFill="1" applyBorder="1" applyAlignment="1">
      <alignment horizontal="right" vertical="center"/>
    </xf>
    <xf numFmtId="164" fontId="20" fillId="15" borderId="2" xfId="0" applyNumberFormat="1" applyFont="1" applyFill="1" applyBorder="1" applyAlignment="1">
      <alignment horizontal="right" vertical="center"/>
    </xf>
    <xf numFmtId="164" fontId="32" fillId="15" borderId="2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vertical="center" indent="1"/>
    </xf>
    <xf numFmtId="164" fontId="5" fillId="5" borderId="2" xfId="0" applyNumberFormat="1" applyFont="1" applyFill="1" applyBorder="1" applyAlignment="1">
      <alignment horizontal="right" vertical="center"/>
    </xf>
    <xf numFmtId="164" fontId="26" fillId="5" borderId="2" xfId="0" applyNumberFormat="1" applyFont="1" applyFill="1" applyBorder="1" applyAlignment="1">
      <alignment horizontal="right" vertical="center"/>
    </xf>
    <xf numFmtId="164" fontId="20" fillId="5" borderId="2" xfId="0" applyNumberFormat="1" applyFont="1" applyFill="1" applyBorder="1" applyAlignment="1">
      <alignment horizontal="right" vertical="center"/>
    </xf>
    <xf numFmtId="164" fontId="32" fillId="5" borderId="2" xfId="0" applyNumberFormat="1" applyFont="1" applyFill="1" applyBorder="1" applyAlignment="1">
      <alignment horizontal="right" vertical="center"/>
    </xf>
    <xf numFmtId="164" fontId="30" fillId="16" borderId="2" xfId="0" applyNumberFormat="1" applyFont="1" applyFill="1" applyBorder="1" applyAlignment="1">
      <alignment horizontal="right" vertical="center"/>
    </xf>
    <xf numFmtId="164" fontId="27" fillId="2" borderId="4" xfId="0" applyNumberFormat="1" applyFont="1" applyFill="1" applyBorder="1" applyAlignment="1">
      <alignment horizontal="right" vertical="center"/>
    </xf>
    <xf numFmtId="164" fontId="3" fillId="14" borderId="5" xfId="0" applyNumberFormat="1" applyFont="1" applyFill="1" applyBorder="1" applyAlignment="1">
      <alignment horizontal="right" vertical="center"/>
    </xf>
    <xf numFmtId="0" fontId="33" fillId="12" borderId="0" xfId="0" applyFont="1" applyFill="1" applyAlignment="1">
      <alignment horizontal="center" vertical="center"/>
    </xf>
    <xf numFmtId="164" fontId="34" fillId="12" borderId="3" xfId="0" applyNumberFormat="1" applyFont="1" applyFill="1" applyBorder="1" applyAlignment="1">
      <alignment horizontal="right" vertical="center"/>
    </xf>
    <xf numFmtId="0" fontId="13" fillId="14" borderId="0" xfId="0" applyFont="1" applyFill="1" applyAlignment="1">
      <alignment horizontal="center" vertical="center"/>
    </xf>
    <xf numFmtId="0" fontId="35" fillId="13" borderId="0" xfId="0" applyFont="1" applyFill="1" applyAlignment="1">
      <alignment horizontal="left" vertical="center" indent="2"/>
    </xf>
    <xf numFmtId="164" fontId="36" fillId="13" borderId="2" xfId="0" applyNumberFormat="1" applyFont="1" applyFill="1" applyBorder="1" applyAlignment="1">
      <alignment horizontal="right" vertical="center"/>
    </xf>
    <xf numFmtId="0" fontId="36" fillId="13" borderId="0" xfId="0" applyFont="1" applyFill="1" applyAlignment="1">
      <alignment horizontal="left" vertical="center" indent="2"/>
    </xf>
    <xf numFmtId="164" fontId="37" fillId="13" borderId="2" xfId="0" applyNumberFormat="1" applyFont="1" applyFill="1" applyBorder="1" applyAlignment="1">
      <alignment horizontal="right" vertical="center"/>
    </xf>
    <xf numFmtId="0" fontId="2" fillId="3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338CA"/>
    <pageSetUpPr fitToPage="1"/>
  </sheetPr>
  <dimension ref="A1:I601"/>
  <sheetFormatPr defaultRowHeight="15" outlineLevelRow="0" outlineLevelCol="0" x14ac:dyDescent="55"/>
  <cols>
    <col min="1" max="1" width="2" customWidth="1"/>
    <col min="2" max="2" width="35" customWidth="1"/>
    <col min="3" max="4" width="13" customWidth="1"/>
    <col min="5" max="5" width="16" customWidth="1"/>
    <col min="6" max="6" width="12" customWidth="1"/>
    <col min="7" max="7" width="15" customWidth="1"/>
    <col min="8" max="9" width="18" customWidth="1"/>
  </cols>
  <sheetData>
    <row r="1" ht="4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3" ht="8" customHeight="1" spans="1:6" x14ac:dyDescent="0.25">
      <c r="A3" s="3"/>
      <c r="B3" s="3"/>
      <c r="C3" s="3"/>
      <c r="D3" s="3"/>
      <c r="E3" s="3"/>
      <c r="F3" s="3"/>
    </row>
    <row r="4" ht="24" customHeight="1" spans="1:6" x14ac:dyDescent="0.25">
      <c r="A4" s="4" t="s">
        <v>2</v>
      </c>
      <c r="B4" s="4"/>
      <c r="C4" s="4"/>
      <c r="D4" s="4"/>
      <c r="E4" s="4"/>
      <c r="F4" s="4"/>
    </row>
    <row r="5" ht="16" customHeight="1" spans="1:6" x14ac:dyDescent="0.25">
      <c r="A5" s="5" t="s">
        <v>3</v>
      </c>
      <c r="B5" s="5" t="s">
        <v>4</v>
      </c>
      <c r="C5" s="5" t="s">
        <v>5</v>
      </c>
      <c r="D5" s="5" t="s">
        <v>3</v>
      </c>
      <c r="E5" s="5" t="s">
        <v>3</v>
      </c>
      <c r="F5" s="5" t="s">
        <v>3</v>
      </c>
    </row>
    <row r="6" ht="20" customHeight="1" spans="2:6" x14ac:dyDescent="0.25">
      <c r="B6" s="6" t="s">
        <v>6</v>
      </c>
      <c r="C6" s="7">
        <v>2063.39</v>
      </c>
      <c r="D6" s="8" t="s">
        <v>7</v>
      </c>
      <c r="E6" s="8"/>
      <c r="F6" s="8"/>
    </row>
    <row r="7" ht="20" customHeight="1" spans="2:3" x14ac:dyDescent="0.25">
      <c r="B7" s="9" t="s">
        <v>8</v>
      </c>
      <c r="C7" s="7">
        <v>64.208</v>
      </c>
    </row>
    <row r="8" ht="4" customHeight="1" spans="1:6" x14ac:dyDescent="0.25">
      <c r="A8" s="10"/>
      <c r="B8" s="10"/>
      <c r="C8" s="10"/>
      <c r="D8" s="10"/>
      <c r="E8" s="10"/>
      <c r="F8" s="10"/>
    </row>
    <row r="9" ht="18" customHeight="1" spans="2:2" x14ac:dyDescent="0.25">
      <c r="B9" s="11" t="s">
        <v>9</v>
      </c>
    </row>
    <row r="10" ht="28" customHeight="1" spans="2:6" x14ac:dyDescent="0.25">
      <c r="B10" s="12" t="s">
        <v>10</v>
      </c>
      <c r="C10" s="7">
        <v>0</v>
      </c>
      <c r="D10" s="13" t="s">
        <v>11</v>
      </c>
      <c r="E10" s="13"/>
      <c r="F10" s="13"/>
    </row>
    <row r="11" ht="20" customHeight="1" spans="2:6" x14ac:dyDescent="0.25">
      <c r="B11" s="12" t="s">
        <v>12</v>
      </c>
      <c r="C11" s="7">
        <v>18.04</v>
      </c>
      <c r="D11" s="8" t="s">
        <v>13</v>
      </c>
      <c r="E11" s="8"/>
      <c r="F11" s="8"/>
    </row>
    <row r="12" ht="4" customHeight="1" spans="1:6" x14ac:dyDescent="0.25">
      <c r="A12" s="10"/>
      <c r="B12" s="10"/>
      <c r="C12" s="10"/>
      <c r="D12" s="10"/>
      <c r="E12" s="10"/>
      <c r="F12" s="10"/>
    </row>
    <row r="13" ht="18" customHeight="1" spans="2:2" x14ac:dyDescent="0.25">
      <c r="B13" s="11" t="s">
        <v>14</v>
      </c>
    </row>
    <row r="14" ht="16" customHeight="1" spans="1:6" x14ac:dyDescent="0.25">
      <c r="A14" s="14" t="s">
        <v>3</v>
      </c>
      <c r="B14" s="15" t="s">
        <v>15</v>
      </c>
      <c r="C14" s="16" t="s">
        <v>16</v>
      </c>
      <c r="D14" s="16" t="s">
        <v>17</v>
      </c>
      <c r="E14" s="16" t="s">
        <v>3</v>
      </c>
      <c r="F14" s="16" t="s">
        <v>3</v>
      </c>
    </row>
    <row r="15" ht="18" customHeight="1" spans="2:6" x14ac:dyDescent="0.25">
      <c r="B15" s="12" t="s">
        <v>18</v>
      </c>
      <c r="C15" s="17">
        <v>0.047</v>
      </c>
      <c r="D15" s="8" t="s">
        <v>19</v>
      </c>
      <c r="E15" s="8"/>
      <c r="F15" s="8"/>
    </row>
    <row r="16" ht="18" customHeight="1" spans="2:6" x14ac:dyDescent="0.25">
      <c r="B16" s="12" t="s">
        <v>20</v>
      </c>
      <c r="C16" s="17">
        <v>0.0165</v>
      </c>
      <c r="D16" s="8" t="s">
        <v>21</v>
      </c>
      <c r="E16" s="8"/>
      <c r="F16" s="8"/>
    </row>
    <row r="17" ht="18" customHeight="1" spans="2:6" x14ac:dyDescent="0.25">
      <c r="B17" s="12" t="s">
        <v>22</v>
      </c>
      <c r="C17" s="17">
        <v>0.047</v>
      </c>
      <c r="D17" s="8" t="s">
        <v>23</v>
      </c>
      <c r="E17" s="8"/>
      <c r="F17" s="8"/>
    </row>
    <row r="18" ht="18" customHeight="1" spans="2:6" x14ac:dyDescent="0.25">
      <c r="B18" s="12" t="s">
        <v>24</v>
      </c>
      <c r="C18" s="17">
        <v>0.0013</v>
      </c>
      <c r="D18" s="8" t="s">
        <v>25</v>
      </c>
      <c r="E18" s="8"/>
      <c r="F18" s="8"/>
    </row>
    <row r="19" ht="4" customHeight="1" spans="1:6" x14ac:dyDescent="0.25">
      <c r="A19" s="10"/>
      <c r="B19" s="10"/>
      <c r="C19" s="10"/>
      <c r="D19" s="10"/>
      <c r="E19" s="10"/>
      <c r="F19" s="10"/>
    </row>
    <row r="20" ht="20" customHeight="1" spans="2:6" x14ac:dyDescent="0.25">
      <c r="B20" s="11" t="s">
        <v>26</v>
      </c>
      <c r="C20" s="17">
        <v>0.1815</v>
      </c>
      <c r="D20" s="8" t="s">
        <v>27</v>
      </c>
      <c r="E20" s="8"/>
      <c r="F20" s="8"/>
    </row>
    <row r="21" ht="4" customHeight="1" spans="1:6" x14ac:dyDescent="0.25">
      <c r="A21" s="10"/>
      <c r="B21" s="10"/>
      <c r="C21" s="10"/>
      <c r="D21" s="10"/>
      <c r="E21" s="10"/>
      <c r="F21" s="10"/>
    </row>
    <row r="22" ht="18" customHeight="1" spans="2:2" x14ac:dyDescent="0.25">
      <c r="B22" s="11" t="s">
        <v>28</v>
      </c>
    </row>
    <row r="23" ht="16" customHeight="1" spans="1:6" x14ac:dyDescent="0.25">
      <c r="A23" s="14" t="s">
        <v>3</v>
      </c>
      <c r="B23" s="15" t="s">
        <v>29</v>
      </c>
      <c r="C23" s="16" t="s">
        <v>30</v>
      </c>
      <c r="D23" s="16" t="s">
        <v>31</v>
      </c>
      <c r="E23" s="16" t="s">
        <v>3</v>
      </c>
      <c r="F23" s="16" t="s">
        <v>3</v>
      </c>
    </row>
    <row r="24" ht="18" customHeight="1" spans="2:4" x14ac:dyDescent="0.25">
      <c r="B24" s="12" t="s">
        <v>32</v>
      </c>
      <c r="C24" s="7">
        <v>3.65</v>
      </c>
      <c r="D24" s="18" t="s">
        <v>33</v>
      </c>
    </row>
    <row r="25" ht="18" customHeight="1" spans="2:4" x14ac:dyDescent="0.25">
      <c r="B25" s="12" t="s">
        <v>34</v>
      </c>
      <c r="C25" s="7">
        <v>10.94</v>
      </c>
      <c r="D25" s="18" t="s">
        <v>33</v>
      </c>
    </row>
    <row r="26" ht="18" customHeight="1" spans="2:4" x14ac:dyDescent="0.25">
      <c r="B26" s="12" t="s">
        <v>35</v>
      </c>
      <c r="C26" s="7">
        <v>16.32</v>
      </c>
      <c r="D26" s="18" t="s">
        <v>33</v>
      </c>
    </row>
    <row r="27" ht="18" customHeight="1" spans="2:4" x14ac:dyDescent="0.25">
      <c r="B27" s="12" t="s">
        <v>36</v>
      </c>
      <c r="C27" s="7">
        <v>1.35</v>
      </c>
      <c r="D27" s="18" t="s">
        <v>33</v>
      </c>
    </row>
    <row r="28" ht="18" customHeight="1" spans="2:4" x14ac:dyDescent="0.25">
      <c r="B28" s="12" t="s">
        <v>37</v>
      </c>
      <c r="C28" s="7">
        <v>2.17</v>
      </c>
      <c r="D28" s="18" t="s">
        <v>33</v>
      </c>
    </row>
    <row r="29" ht="18" customHeight="1" spans="2:4" x14ac:dyDescent="0.25">
      <c r="B29" s="12" t="s">
        <v>38</v>
      </c>
      <c r="C29" s="7">
        <v>10.56</v>
      </c>
      <c r="D29" s="19" t="s">
        <v>39</v>
      </c>
    </row>
    <row r="30" ht="18" customHeight="1" spans="2:4" x14ac:dyDescent="0.25">
      <c r="B30" s="12" t="s">
        <v>40</v>
      </c>
      <c r="C30" s="7">
        <v>12.68</v>
      </c>
      <c r="D30" s="19" t="s">
        <v>39</v>
      </c>
    </row>
    <row r="31" ht="18" customHeight="1" spans="2:4" x14ac:dyDescent="0.25">
      <c r="B31" s="12" t="s">
        <v>41</v>
      </c>
      <c r="C31" s="7">
        <v>19.77</v>
      </c>
      <c r="D31" s="18" t="s">
        <v>42</v>
      </c>
    </row>
    <row r="32" ht="18" customHeight="1" spans="2:4" x14ac:dyDescent="0.25">
      <c r="B32" s="12" t="s">
        <v>43</v>
      </c>
      <c r="C32" s="7">
        <v>19.77</v>
      </c>
      <c r="D32" s="18" t="s">
        <v>42</v>
      </c>
    </row>
    <row r="33" ht="18" customHeight="1" spans="2:4" x14ac:dyDescent="0.25">
      <c r="B33" s="12" t="s">
        <v>44</v>
      </c>
      <c r="C33" s="7">
        <f>C$7</f>
      </c>
      <c r="D33" s="19" t="s">
        <v>39</v>
      </c>
    </row>
    <row r="34" ht="18" customHeight="1" spans="2:4" x14ac:dyDescent="0.25">
      <c r="B34" s="12" t="s">
        <v>45</v>
      </c>
      <c r="C34" s="7">
        <v>0.3</v>
      </c>
      <c r="D34" s="20" t="s">
        <v>46</v>
      </c>
    </row>
    <row r="35" ht="10" customHeight="1" spans="1:6" x14ac:dyDescent="0.25">
      <c r="A35" s="3"/>
      <c r="B35" s="3"/>
      <c r="C35" s="3"/>
      <c r="D35" s="3"/>
      <c r="E35" s="3"/>
      <c r="F35" s="3"/>
    </row>
    <row r="36" ht="26" customHeight="1" spans="1:6" x14ac:dyDescent="0.25">
      <c r="A36" s="21" t="s">
        <v>47</v>
      </c>
      <c r="B36" s="21"/>
      <c r="C36" s="21"/>
      <c r="D36" s="21"/>
      <c r="E36" s="22" t="s">
        <v>48</v>
      </c>
      <c r="F36" s="17">
        <v>0.1815</v>
      </c>
    </row>
    <row r="37" ht="16" customHeight="1" spans="1:6" x14ac:dyDescent="0.25">
      <c r="A37" s="23" t="s">
        <v>3</v>
      </c>
      <c r="B37" s="24" t="s">
        <v>49</v>
      </c>
      <c r="C37" s="25" t="s">
        <v>50</v>
      </c>
      <c r="D37" s="25" t="s">
        <v>51</v>
      </c>
      <c r="E37" s="25" t="s">
        <v>52</v>
      </c>
      <c r="F37" s="25" t="s">
        <v>53</v>
      </c>
    </row>
    <row r="38" ht="18" customHeight="1" spans="2:6" x14ac:dyDescent="0.25">
      <c r="B38" s="9" t="s">
        <v>54</v>
      </c>
      <c r="E38" s="26">
        <f>C$6</f>
      </c>
      <c r="F38" s="27" t="s">
        <v>55</v>
      </c>
    </row>
    <row r="39" ht="18" customHeight="1" spans="2:6" x14ac:dyDescent="0.25">
      <c r="B39" s="12" t="s">
        <v>56</v>
      </c>
      <c r="C39" s="7">
        <f>C$11</f>
      </c>
      <c r="D39" s="28" t="s">
        <v>57</v>
      </c>
      <c r="E39" s="26">
        <f>C39</f>
      </c>
      <c r="F39" s="27" t="s">
        <v>55</v>
      </c>
    </row>
    <row r="40" ht="18" customHeight="1" spans="2:6" x14ac:dyDescent="0.25">
      <c r="B40" s="12" t="s">
        <v>32</v>
      </c>
      <c r="C40" s="29">
        <v>0</v>
      </c>
      <c r="D40" s="30">
        <f>C$24</f>
      </c>
      <c r="E40" s="26">
        <f>C40*D40</f>
      </c>
      <c r="F40" s="27" t="s">
        <v>55</v>
      </c>
    </row>
    <row r="41" ht="18" customHeight="1" spans="2:6" x14ac:dyDescent="0.25">
      <c r="B41" s="12" t="s">
        <v>34</v>
      </c>
      <c r="C41" s="29">
        <v>0</v>
      </c>
      <c r="D41" s="30">
        <f>C$25</f>
      </c>
      <c r="E41" s="26">
        <f>C41*D41</f>
      </c>
      <c r="F41" s="27" t="s">
        <v>55</v>
      </c>
    </row>
    <row r="42" ht="18" customHeight="1" spans="2:6" x14ac:dyDescent="0.25">
      <c r="B42" s="12" t="s">
        <v>35</v>
      </c>
      <c r="C42" s="29">
        <v>0</v>
      </c>
      <c r="D42" s="30">
        <f>C$26</f>
      </c>
      <c r="E42" s="26">
        <f>C42*D42</f>
      </c>
      <c r="F42" s="27" t="s">
        <v>55</v>
      </c>
    </row>
    <row r="43" ht="18" customHeight="1" spans="2:6" x14ac:dyDescent="0.25">
      <c r="B43" s="12" t="s">
        <v>36</v>
      </c>
      <c r="C43" s="29">
        <v>0</v>
      </c>
      <c r="D43" s="30">
        <f>C$27</f>
      </c>
      <c r="E43" s="26">
        <f>C43*D43</f>
      </c>
      <c r="F43" s="27" t="s">
        <v>55</v>
      </c>
    </row>
    <row r="44" ht="18" customHeight="1" spans="2:6" x14ac:dyDescent="0.25">
      <c r="B44" s="12" t="s">
        <v>37</v>
      </c>
      <c r="C44" s="29">
        <v>0</v>
      </c>
      <c r="D44" s="30">
        <f>C$28</f>
      </c>
      <c r="E44" s="26">
        <f>C44*D44</f>
      </c>
      <c r="F44" s="27" t="s">
        <v>55</v>
      </c>
    </row>
    <row r="45" ht="18" customHeight="1" spans="2:6" x14ac:dyDescent="0.25">
      <c r="B45" s="12" t="s">
        <v>38</v>
      </c>
      <c r="C45" s="29">
        <v>0</v>
      </c>
      <c r="D45" s="30">
        <f>C$29</f>
      </c>
      <c r="E45" s="26">
        <f>C45*D45</f>
      </c>
      <c r="F45" s="31" t="s">
        <v>58</v>
      </c>
    </row>
    <row r="46" ht="18" customHeight="1" spans="2:6" x14ac:dyDescent="0.25">
      <c r="B46" s="12" t="s">
        <v>40</v>
      </c>
      <c r="C46" s="29">
        <v>0</v>
      </c>
      <c r="D46" s="30">
        <f>C$30</f>
      </c>
      <c r="E46" s="26">
        <f>C46*D46</f>
      </c>
      <c r="F46" s="31" t="s">
        <v>58</v>
      </c>
    </row>
    <row r="47" ht="18" customHeight="1" spans="2:6" x14ac:dyDescent="0.25">
      <c r="B47" s="12" t="s">
        <v>59</v>
      </c>
      <c r="C47" s="29">
        <v>0</v>
      </c>
      <c r="D47" s="30">
        <f>C$33</f>
      </c>
      <c r="E47" s="26">
        <f>C47*D47</f>
      </c>
      <c r="F47" s="31" t="s">
        <v>58</v>
      </c>
    </row>
    <row r="48" ht="16" customHeight="1" spans="1:6" x14ac:dyDescent="0.25">
      <c r="A48" s="32" t="s">
        <v>60</v>
      </c>
      <c r="B48" s="32"/>
      <c r="C48" s="32"/>
      <c r="D48" s="32"/>
      <c r="E48" s="32"/>
      <c r="F48" s="32"/>
    </row>
    <row r="49" ht="18" customHeight="1" spans="2:6" x14ac:dyDescent="0.25">
      <c r="B49" s="12" t="s">
        <v>41</v>
      </c>
      <c r="C49" s="29">
        <v>0</v>
      </c>
      <c r="D49" s="30">
        <f>C$31</f>
      </c>
      <c r="E49" s="26">
        <f>C49*D49</f>
      </c>
      <c r="F49" s="27" t="s">
        <v>61</v>
      </c>
    </row>
    <row r="50" ht="18" customHeight="1" spans="2:6" x14ac:dyDescent="0.25">
      <c r="B50" s="12" t="s">
        <v>43</v>
      </c>
      <c r="C50" s="29">
        <v>0</v>
      </c>
      <c r="D50" s="30">
        <f>C$32</f>
      </c>
      <c r="E50" s="26">
        <f>C50*D50</f>
      </c>
      <c r="F50" s="27" t="s">
        <v>61</v>
      </c>
    </row>
    <row r="51" ht="16" customHeight="1" spans="1:6" x14ac:dyDescent="0.25">
      <c r="A51" s="33" t="s">
        <v>62</v>
      </c>
      <c r="B51" s="33"/>
      <c r="C51" s="33"/>
      <c r="D51" s="33"/>
      <c r="E51" s="33"/>
      <c r="F51" s="33"/>
    </row>
    <row r="52" ht="18" customHeight="1" spans="2:6" x14ac:dyDescent="0.25">
      <c r="B52" s="12" t="s">
        <v>63</v>
      </c>
      <c r="C52" s="7">
        <v>0</v>
      </c>
      <c r="D52" s="28" t="s">
        <v>57</v>
      </c>
      <c r="E52" s="34">
        <f>C52</f>
      </c>
      <c r="F52" s="35" t="s">
        <v>64</v>
      </c>
    </row>
    <row r="53" ht="18" customHeight="1" spans="2:6" x14ac:dyDescent="0.25">
      <c r="B53" s="12" t="s">
        <v>65</v>
      </c>
      <c r="C53" s="7">
        <v>0</v>
      </c>
      <c r="D53" s="28" t="s">
        <v>57</v>
      </c>
      <c r="E53" s="34">
        <f>C53</f>
      </c>
      <c r="F53" s="35" t="s">
        <v>64</v>
      </c>
    </row>
    <row r="54" ht="18" customHeight="1" spans="2:6" x14ac:dyDescent="0.25">
      <c r="B54" s="12" t="s">
        <v>66</v>
      </c>
      <c r="C54" s="29">
        <v>0</v>
      </c>
      <c r="D54" s="30">
        <f>C$34</f>
      </c>
      <c r="E54" s="34">
        <f>C54*D54</f>
      </c>
      <c r="F54" s="35" t="s">
        <v>64</v>
      </c>
    </row>
    <row r="55" ht="3" customHeight="1" spans="1:6" x14ac:dyDescent="0.25">
      <c r="A55" s="36"/>
      <c r="B55" s="36"/>
      <c r="C55" s="36"/>
      <c r="D55" s="36"/>
      <c r="E55" s="36"/>
      <c r="F55" s="36"/>
    </row>
    <row r="56" ht="20" customHeight="1" spans="1:5" x14ac:dyDescent="0.25">
      <c r="A56" s="37" t="s">
        <v>67</v>
      </c>
      <c r="B56" s="37"/>
      <c r="C56" s="37"/>
      <c r="D56" s="37"/>
      <c r="E56" s="38">
        <f>E38+E39+E40+E41+E42+E43+E44+E45+E46+E47+E49+E50</f>
      </c>
    </row>
    <row r="57" ht="20" customHeight="1" spans="1:5" x14ac:dyDescent="0.25">
      <c r="A57" s="39" t="s">
        <v>68</v>
      </c>
      <c r="B57" s="39"/>
      <c r="C57" s="39"/>
      <c r="D57" s="39"/>
      <c r="E57" s="34">
        <f>E52+E53+E54</f>
      </c>
    </row>
    <row r="58" ht="20" customHeight="1" spans="1:5" x14ac:dyDescent="0.25">
      <c r="A58" s="40" t="s">
        <v>69</v>
      </c>
      <c r="B58" s="40"/>
      <c r="C58" s="40"/>
      <c r="D58" s="40"/>
      <c r="E58" s="41">
        <f>E49+E50</f>
      </c>
    </row>
    <row r="59" ht="3" customHeight="1" spans="1:6" x14ac:dyDescent="0.25">
      <c r="A59" s="36"/>
      <c r="B59" s="36"/>
      <c r="C59" s="36"/>
      <c r="D59" s="36"/>
      <c r="E59" s="36"/>
      <c r="F59" s="36"/>
    </row>
    <row r="60" ht="16" customHeight="1" spans="1:6" x14ac:dyDescent="0.25">
      <c r="A60" s="42" t="s">
        <v>70</v>
      </c>
      <c r="B60" s="42"/>
      <c r="C60" s="42"/>
      <c r="D60" s="42"/>
      <c r="E60" s="42"/>
      <c r="F60" s="42"/>
    </row>
    <row r="61" ht="20" customHeight="1" spans="1:6" x14ac:dyDescent="0.25">
      <c r="A61" s="43" t="s">
        <v>71</v>
      </c>
      <c r="B61" s="43"/>
      <c r="C61" s="43"/>
      <c r="D61" s="43"/>
      <c r="E61" s="44">
        <f>E38+E39+E40+E41+E42+E43+E44+E45+E46+E47+C$10</f>
      </c>
      <c r="F61" s="45" t="s">
        <v>33</v>
      </c>
    </row>
    <row r="62" ht="20" customHeight="1" spans="1:6" x14ac:dyDescent="0.25">
      <c r="A62" s="43" t="s">
        <v>72</v>
      </c>
      <c r="B62" s="43"/>
      <c r="C62" s="43"/>
      <c r="D62" s="43"/>
      <c r="E62" s="44">
        <f>E61+E58</f>
      </c>
      <c r="F62" s="45" t="s">
        <v>73</v>
      </c>
    </row>
    <row r="63" ht="20" customHeight="1" spans="1:5" x14ac:dyDescent="0.25">
      <c r="A63" s="46" t="s">
        <v>74</v>
      </c>
      <c r="B63" s="46"/>
      <c r="C63" s="46"/>
      <c r="D63" s="47">
        <f>C$15</f>
      </c>
      <c r="E63" s="48">
        <f>E61*C$15</f>
      </c>
    </row>
    <row r="64" ht="20" customHeight="1" spans="1:5" x14ac:dyDescent="0.25">
      <c r="A64" s="46" t="s">
        <v>75</v>
      </c>
      <c r="B64" s="46"/>
      <c r="C64" s="46"/>
      <c r="D64" s="47">
        <f>C$16</f>
      </c>
      <c r="E64" s="48">
        <f>E62*C$16</f>
      </c>
    </row>
    <row r="65" ht="20" customHeight="1" spans="1:5" x14ac:dyDescent="0.25">
      <c r="A65" s="46" t="s">
        <v>76</v>
      </c>
      <c r="B65" s="46"/>
      <c r="C65" s="46"/>
      <c r="D65" s="47">
        <f>C$17</f>
      </c>
      <c r="E65" s="48">
        <f>E58*C$17</f>
      </c>
    </row>
    <row r="66" ht="20" customHeight="1" spans="1:5" x14ac:dyDescent="0.25">
      <c r="A66" s="46" t="s">
        <v>77</v>
      </c>
      <c r="B66" s="46"/>
      <c r="C66" s="46"/>
      <c r="D66" s="47">
        <f>C$18</f>
      </c>
      <c r="E66" s="48">
        <f>E62*C$18</f>
      </c>
    </row>
    <row r="67" ht="20" customHeight="1" spans="1:5" x14ac:dyDescent="0.25">
      <c r="A67" s="49" t="s">
        <v>78</v>
      </c>
      <c r="B67" s="49"/>
      <c r="C67" s="49"/>
      <c r="D67" s="49"/>
      <c r="E67" s="50">
        <f>E63+E64+E65+E66</f>
      </c>
    </row>
    <row r="68" ht="3" customHeight="1" spans="1:6" x14ac:dyDescent="0.25">
      <c r="A68" s="36"/>
      <c r="B68" s="36"/>
      <c r="C68" s="36"/>
      <c r="D68" s="36"/>
      <c r="E68" s="36"/>
      <c r="F68" s="36"/>
    </row>
    <row r="69" ht="22" customHeight="1" spans="1:5" x14ac:dyDescent="0.25">
      <c r="A69" s="51" t="s">
        <v>79</v>
      </c>
      <c r="B69" s="51"/>
      <c r="C69" s="51"/>
      <c r="D69" s="47">
        <f>F36</f>
      </c>
      <c r="E69" s="48">
        <f>E56*F36</f>
      </c>
    </row>
    <row r="70" ht="3" customHeight="1" spans="1:6" x14ac:dyDescent="0.25">
      <c r="A70" s="36"/>
      <c r="B70" s="36"/>
      <c r="C70" s="36"/>
      <c r="D70" s="36"/>
      <c r="E70" s="36"/>
      <c r="F70" s="36"/>
    </row>
    <row r="71" ht="30" customHeight="1" spans="1:6" x14ac:dyDescent="0.25">
      <c r="A71" s="52" t="s">
        <v>80</v>
      </c>
      <c r="B71" s="52"/>
      <c r="C71" s="52"/>
      <c r="D71" s="52"/>
      <c r="E71" s="53">
        <f>E56+E57-E67-E69</f>
      </c>
      <c r="F71" s="54" t="s">
        <v>81</v>
      </c>
    </row>
    <row r="72" ht="18" customHeight="1" spans="1:6" x14ac:dyDescent="0.25">
      <c r="A72" s="55" t="s">
        <v>82</v>
      </c>
      <c r="B72" s="55"/>
      <c r="C72" s="55"/>
      <c r="D72" s="55"/>
      <c r="E72" s="55"/>
      <c r="F72" s="55"/>
    </row>
    <row r="73" ht="18" customHeight="1" spans="1:5" x14ac:dyDescent="0.25">
      <c r="A73" s="56" t="s">
        <v>83</v>
      </c>
      <c r="B73" s="56"/>
      <c r="C73" s="56"/>
      <c r="D73" s="56"/>
      <c r="E73" s="57">
        <f>(C$6/31)*C47</f>
      </c>
    </row>
    <row r="74" ht="18" customHeight="1" spans="1:5" x14ac:dyDescent="0.25">
      <c r="A74" s="56" t="s">
        <v>84</v>
      </c>
      <c r="B74" s="56"/>
      <c r="C74" s="56"/>
      <c r="D74" s="56"/>
      <c r="E74" s="57">
        <f>E45</f>
      </c>
    </row>
    <row r="75" ht="18" customHeight="1" spans="1:5" x14ac:dyDescent="0.25">
      <c r="A75" s="56" t="s">
        <v>85</v>
      </c>
      <c r="B75" s="56"/>
      <c r="C75" s="56"/>
      <c r="D75" s="56"/>
      <c r="E75" s="57">
        <f>E46</f>
      </c>
    </row>
    <row r="76" ht="18" customHeight="1" spans="1:5" x14ac:dyDescent="0.25">
      <c r="A76" s="56" t="s">
        <v>86</v>
      </c>
      <c r="B76" s="56"/>
      <c r="C76" s="56"/>
      <c r="D76" s="56"/>
      <c r="E76" s="57">
        <f>E47</f>
      </c>
    </row>
    <row r="77" ht="22" customHeight="1" spans="1:5" x14ac:dyDescent="0.25">
      <c r="A77" s="58" t="s">
        <v>87</v>
      </c>
      <c r="B77" s="58"/>
      <c r="C77" s="58"/>
      <c r="D77" s="58"/>
      <c r="E77" s="59">
        <f>(C$6/31)*C47+E45+E46+E47</f>
      </c>
    </row>
    <row r="78" ht="22" customHeight="1" spans="1:5" x14ac:dyDescent="0.25">
      <c r="A78" s="60" t="s">
        <v>88</v>
      </c>
      <c r="B78" s="60"/>
      <c r="C78" s="60"/>
      <c r="D78" s="61">
        <f>F36</f>
      </c>
      <c r="E78" s="59">
        <f>E77*F36</f>
      </c>
    </row>
    <row r="79" ht="30" customHeight="1" spans="1:6" x14ac:dyDescent="0.25">
      <c r="A79" s="62" t="s">
        <v>89</v>
      </c>
      <c r="B79" s="62"/>
      <c r="C79" s="62"/>
      <c r="D79" s="62"/>
      <c r="E79" s="62"/>
      <c r="F79" s="62"/>
    </row>
    <row r="80" ht="10" customHeight="1" spans="1:6" x14ac:dyDescent="0.25">
      <c r="A80" s="3"/>
      <c r="B80" s="3"/>
      <c r="C80" s="3"/>
      <c r="D80" s="3"/>
      <c r="E80" s="3"/>
      <c r="F80" s="3"/>
    </row>
    <row r="81" ht="26" customHeight="1" spans="1:6" x14ac:dyDescent="0.25">
      <c r="A81" s="21" t="s">
        <v>90</v>
      </c>
      <c r="B81" s="21"/>
      <c r="C81" s="21"/>
      <c r="D81" s="21"/>
      <c r="E81" s="22" t="s">
        <v>91</v>
      </c>
      <c r="F81" s="17">
        <f>$C$20</f>
      </c>
    </row>
    <row r="82" ht="16" customHeight="1" spans="1:6" x14ac:dyDescent="0.25">
      <c r="A82" s="23" t="s">
        <v>3</v>
      </c>
      <c r="B82" s="24" t="s">
        <v>49</v>
      </c>
      <c r="C82" s="25" t="s">
        <v>50</v>
      </c>
      <c r="D82" s="25" t="s">
        <v>51</v>
      </c>
      <c r="E82" s="25" t="s">
        <v>52</v>
      </c>
      <c r="F82" s="25" t="s">
        <v>53</v>
      </c>
    </row>
    <row r="83" ht="18" customHeight="1" spans="2:6" x14ac:dyDescent="0.25">
      <c r="B83" s="9" t="s">
        <v>54</v>
      </c>
      <c r="E83" s="26">
        <f>C$6</f>
      </c>
      <c r="F83" s="27" t="s">
        <v>55</v>
      </c>
    </row>
    <row r="84" ht="18" customHeight="1" spans="2:6" x14ac:dyDescent="0.25">
      <c r="B84" s="12" t="s">
        <v>56</v>
      </c>
      <c r="C84" s="7">
        <f>C$11</f>
      </c>
      <c r="D84" s="28" t="s">
        <v>57</v>
      </c>
      <c r="E84" s="26">
        <f>C84</f>
      </c>
      <c r="F84" s="27" t="s">
        <v>55</v>
      </c>
    </row>
    <row r="85" ht="18" customHeight="1" spans="2:6" x14ac:dyDescent="0.25">
      <c r="B85" s="12" t="s">
        <v>32</v>
      </c>
      <c r="C85" s="29">
        <v>0</v>
      </c>
      <c r="D85" s="30">
        <f>C$24</f>
      </c>
      <c r="E85" s="26">
        <f>C85*D85</f>
      </c>
      <c r="F85" s="27" t="s">
        <v>55</v>
      </c>
    </row>
    <row r="86" ht="18" customHeight="1" spans="2:6" x14ac:dyDescent="0.25">
      <c r="B86" s="12" t="s">
        <v>34</v>
      </c>
      <c r="C86" s="29">
        <v>0</v>
      </c>
      <c r="D86" s="30">
        <f>C$25</f>
      </c>
      <c r="E86" s="26">
        <f>C86*D86</f>
      </c>
      <c r="F86" s="27" t="s">
        <v>55</v>
      </c>
    </row>
    <row r="87" ht="18" customHeight="1" spans="2:6" x14ac:dyDescent="0.25">
      <c r="B87" s="12" t="s">
        <v>35</v>
      </c>
      <c r="C87" s="29">
        <v>0</v>
      </c>
      <c r="D87" s="30">
        <f>C$26</f>
      </c>
      <c r="E87" s="26">
        <f>C87*D87</f>
      </c>
      <c r="F87" s="27" t="s">
        <v>55</v>
      </c>
    </row>
    <row r="88" ht="18" customHeight="1" spans="2:6" x14ac:dyDescent="0.25">
      <c r="B88" s="12" t="s">
        <v>36</v>
      </c>
      <c r="C88" s="29">
        <v>0</v>
      </c>
      <c r="D88" s="30">
        <f>C$27</f>
      </c>
      <c r="E88" s="26">
        <f>C88*D88</f>
      </c>
      <c r="F88" s="27" t="s">
        <v>55</v>
      </c>
    </row>
    <row r="89" ht="18" customHeight="1" spans="2:6" x14ac:dyDescent="0.25">
      <c r="B89" s="12" t="s">
        <v>37</v>
      </c>
      <c r="C89" s="29">
        <v>0</v>
      </c>
      <c r="D89" s="30">
        <f>C$28</f>
      </c>
      <c r="E89" s="26">
        <f>C89*D89</f>
      </c>
      <c r="F89" s="27" t="s">
        <v>55</v>
      </c>
    </row>
    <row r="90" ht="18" customHeight="1" spans="2:6" x14ac:dyDescent="0.25">
      <c r="B90" s="12" t="s">
        <v>38</v>
      </c>
      <c r="C90" s="29">
        <v>0</v>
      </c>
      <c r="D90" s="30">
        <f>C$29</f>
      </c>
      <c r="E90" s="26">
        <f>C90*D90</f>
      </c>
      <c r="F90" s="31" t="s">
        <v>58</v>
      </c>
    </row>
    <row r="91" ht="18" customHeight="1" spans="2:6" x14ac:dyDescent="0.25">
      <c r="B91" s="12" t="s">
        <v>40</v>
      </c>
      <c r="C91" s="29">
        <v>0</v>
      </c>
      <c r="D91" s="30">
        <f>C$30</f>
      </c>
      <c r="E91" s="26">
        <f>C91*D91</f>
      </c>
      <c r="F91" s="31" t="s">
        <v>58</v>
      </c>
    </row>
    <row r="92" ht="18" customHeight="1" spans="2:6" x14ac:dyDescent="0.25">
      <c r="B92" s="12" t="s">
        <v>59</v>
      </c>
      <c r="C92" s="29">
        <v>0</v>
      </c>
      <c r="D92" s="30">
        <f>C$33</f>
      </c>
      <c r="E92" s="26">
        <f>C92*D92</f>
      </c>
      <c r="F92" s="31" t="s">
        <v>58</v>
      </c>
    </row>
    <row r="93" ht="16" customHeight="1" spans="1:6" x14ac:dyDescent="0.25">
      <c r="A93" s="32" t="s">
        <v>60</v>
      </c>
      <c r="B93" s="32"/>
      <c r="C93" s="32"/>
      <c r="D93" s="32"/>
      <c r="E93" s="32"/>
      <c r="F93" s="32"/>
    </row>
    <row r="94" ht="18" customHeight="1" spans="2:6" x14ac:dyDescent="0.25">
      <c r="B94" s="12" t="s">
        <v>41</v>
      </c>
      <c r="C94" s="29">
        <v>0</v>
      </c>
      <c r="D94" s="30">
        <f>C$31</f>
      </c>
      <c r="E94" s="26">
        <f>C94*D94</f>
      </c>
      <c r="F94" s="27" t="s">
        <v>61</v>
      </c>
    </row>
    <row r="95" ht="18" customHeight="1" spans="2:6" x14ac:dyDescent="0.25">
      <c r="B95" s="12" t="s">
        <v>43</v>
      </c>
      <c r="C95" s="29">
        <v>0</v>
      </c>
      <c r="D95" s="30">
        <f>C$32</f>
      </c>
      <c r="E95" s="26">
        <f>C95*D95</f>
      </c>
      <c r="F95" s="27" t="s">
        <v>61</v>
      </c>
    </row>
    <row r="96" ht="16" customHeight="1" spans="1:6" x14ac:dyDescent="0.25">
      <c r="A96" s="33" t="s">
        <v>62</v>
      </c>
      <c r="B96" s="33"/>
      <c r="C96" s="33"/>
      <c r="D96" s="33"/>
      <c r="E96" s="33"/>
      <c r="F96" s="33"/>
    </row>
    <row r="97" ht="18" customHeight="1" spans="2:6" x14ac:dyDescent="0.25">
      <c r="B97" s="12" t="s">
        <v>63</v>
      </c>
      <c r="C97" s="7">
        <v>0</v>
      </c>
      <c r="D97" s="28" t="s">
        <v>57</v>
      </c>
      <c r="E97" s="34">
        <f>C97</f>
      </c>
      <c r="F97" s="35" t="s">
        <v>64</v>
      </c>
    </row>
    <row r="98" ht="18" customHeight="1" spans="2:6" x14ac:dyDescent="0.25">
      <c r="B98" s="12" t="s">
        <v>65</v>
      </c>
      <c r="C98" s="7">
        <v>0</v>
      </c>
      <c r="D98" s="28" t="s">
        <v>57</v>
      </c>
      <c r="E98" s="34">
        <f>C98</f>
      </c>
      <c r="F98" s="35" t="s">
        <v>64</v>
      </c>
    </row>
    <row r="99" ht="18" customHeight="1" spans="2:6" x14ac:dyDescent="0.25">
      <c r="B99" s="12" t="s">
        <v>66</v>
      </c>
      <c r="C99" s="29">
        <v>0</v>
      </c>
      <c r="D99" s="30">
        <f>C$34</f>
      </c>
      <c r="E99" s="34">
        <f>C99*D99</f>
      </c>
      <c r="F99" s="35" t="s">
        <v>64</v>
      </c>
    </row>
    <row r="100" ht="3" customHeight="1" spans="1:6" x14ac:dyDescent="0.25">
      <c r="A100" s="36"/>
      <c r="B100" s="36"/>
      <c r="C100" s="36"/>
      <c r="D100" s="36"/>
      <c r="E100" s="36"/>
      <c r="F100" s="36"/>
    </row>
    <row r="101" ht="20" customHeight="1" spans="1:5" x14ac:dyDescent="0.25">
      <c r="A101" s="37" t="s">
        <v>67</v>
      </c>
      <c r="B101" s="37"/>
      <c r="C101" s="37"/>
      <c r="D101" s="37"/>
      <c r="E101" s="38">
        <f>E83+E84+E85+E86+E87+E88+E89+E90+E91+E92+E94+E95</f>
      </c>
    </row>
    <row r="102" ht="20" customHeight="1" spans="1:5" x14ac:dyDescent="0.25">
      <c r="A102" s="39" t="s">
        <v>68</v>
      </c>
      <c r="B102" s="39"/>
      <c r="C102" s="39"/>
      <c r="D102" s="39"/>
      <c r="E102" s="34">
        <f>E97+E98+E99</f>
      </c>
    </row>
    <row r="103" ht="20" customHeight="1" spans="1:5" x14ac:dyDescent="0.25">
      <c r="A103" s="40" t="s">
        <v>69</v>
      </c>
      <c r="B103" s="40"/>
      <c r="C103" s="40"/>
      <c r="D103" s="40"/>
      <c r="E103" s="41">
        <f>E94+E95</f>
      </c>
    </row>
    <row r="104" ht="3" customHeight="1" spans="1:6" x14ac:dyDescent="0.25">
      <c r="A104" s="36"/>
      <c r="B104" s="36"/>
      <c r="C104" s="36"/>
      <c r="D104" s="36"/>
      <c r="E104" s="36"/>
      <c r="F104" s="36"/>
    </row>
    <row r="105" ht="16" customHeight="1" spans="1:6" x14ac:dyDescent="0.25">
      <c r="A105" s="42" t="s">
        <v>70</v>
      </c>
      <c r="B105" s="42"/>
      <c r="C105" s="42"/>
      <c r="D105" s="42"/>
      <c r="E105" s="42"/>
      <c r="F105" s="42"/>
    </row>
    <row r="106" ht="20" customHeight="1" spans="1:6" x14ac:dyDescent="0.25">
      <c r="A106" s="43" t="s">
        <v>71</v>
      </c>
      <c r="B106" s="43"/>
      <c r="C106" s="43"/>
      <c r="D106" s="43"/>
      <c r="E106" s="44">
        <f>E83+E84+E85+E86+E87+E88+E89+E90+E91+E92+C$10</f>
      </c>
      <c r="F106" s="45" t="s">
        <v>33</v>
      </c>
    </row>
    <row r="107" ht="20" customHeight="1" spans="1:6" x14ac:dyDescent="0.25">
      <c r="A107" s="43" t="s">
        <v>72</v>
      </c>
      <c r="B107" s="43"/>
      <c r="C107" s="43"/>
      <c r="D107" s="43"/>
      <c r="E107" s="44">
        <f>E106+E103</f>
      </c>
      <c r="F107" s="45" t="s">
        <v>73</v>
      </c>
    </row>
    <row r="108" ht="20" customHeight="1" spans="1:5" x14ac:dyDescent="0.25">
      <c r="A108" s="46" t="s">
        <v>74</v>
      </c>
      <c r="B108" s="46"/>
      <c r="C108" s="46"/>
      <c r="D108" s="47">
        <f>C$15</f>
      </c>
      <c r="E108" s="48">
        <f>E106*C$15</f>
      </c>
    </row>
    <row r="109" ht="20" customHeight="1" spans="1:5" x14ac:dyDescent="0.25">
      <c r="A109" s="46" t="s">
        <v>75</v>
      </c>
      <c r="B109" s="46"/>
      <c r="C109" s="46"/>
      <c r="D109" s="47">
        <f>C$16</f>
      </c>
      <c r="E109" s="48">
        <f>E107*C$16</f>
      </c>
    </row>
    <row r="110" ht="20" customHeight="1" spans="1:5" x14ac:dyDescent="0.25">
      <c r="A110" s="46" t="s">
        <v>76</v>
      </c>
      <c r="B110" s="46"/>
      <c r="C110" s="46"/>
      <c r="D110" s="47">
        <f>C$17</f>
      </c>
      <c r="E110" s="48">
        <f>E103*C$17</f>
      </c>
    </row>
    <row r="111" ht="20" customHeight="1" spans="1:5" x14ac:dyDescent="0.25">
      <c r="A111" s="46" t="s">
        <v>77</v>
      </c>
      <c r="B111" s="46"/>
      <c r="C111" s="46"/>
      <c r="D111" s="47">
        <f>C$18</f>
      </c>
      <c r="E111" s="48">
        <f>E107*C$18</f>
      </c>
    </row>
    <row r="112" ht="20" customHeight="1" spans="1:5" x14ac:dyDescent="0.25">
      <c r="A112" s="49" t="s">
        <v>78</v>
      </c>
      <c r="B112" s="49"/>
      <c r="C112" s="49"/>
      <c r="D112" s="49"/>
      <c r="E112" s="50">
        <f>E108+E109+E110+E111</f>
      </c>
    </row>
    <row r="113" ht="3" customHeight="1" spans="1:6" x14ac:dyDescent="0.25">
      <c r="A113" s="36"/>
      <c r="B113" s="36"/>
      <c r="C113" s="36"/>
      <c r="D113" s="36"/>
      <c r="E113" s="36"/>
      <c r="F113" s="36"/>
    </row>
    <row r="114" ht="22" customHeight="1" spans="1:5" x14ac:dyDescent="0.25">
      <c r="A114" s="51" t="s">
        <v>79</v>
      </c>
      <c r="B114" s="51"/>
      <c r="C114" s="51"/>
      <c r="D114" s="47">
        <f>F81</f>
      </c>
      <c r="E114" s="48">
        <f>E101*F81</f>
      </c>
    </row>
    <row r="115" ht="3" customHeight="1" spans="1:6" x14ac:dyDescent="0.25">
      <c r="A115" s="36"/>
      <c r="B115" s="36"/>
      <c r="C115" s="36"/>
      <c r="D115" s="36"/>
      <c r="E115" s="36"/>
      <c r="F115" s="36"/>
    </row>
    <row r="116" ht="30" customHeight="1" spans="1:6" x14ac:dyDescent="0.25">
      <c r="A116" s="52" t="s">
        <v>80</v>
      </c>
      <c r="B116" s="52"/>
      <c r="C116" s="52"/>
      <c r="D116" s="52"/>
      <c r="E116" s="53">
        <f>E101+E102-E112-E114</f>
      </c>
      <c r="F116" s="54" t="s">
        <v>81</v>
      </c>
    </row>
    <row r="117" ht="18" customHeight="1" spans="1:6" x14ac:dyDescent="0.25">
      <c r="A117" s="55" t="s">
        <v>82</v>
      </c>
      <c r="B117" s="55"/>
      <c r="C117" s="55"/>
      <c r="D117" s="55"/>
      <c r="E117" s="55"/>
      <c r="F117" s="55"/>
    </row>
    <row r="118" ht="18" customHeight="1" spans="1:5" x14ac:dyDescent="0.25">
      <c r="A118" s="56" t="s">
        <v>83</v>
      </c>
      <c r="B118" s="56"/>
      <c r="C118" s="56"/>
      <c r="D118" s="56"/>
      <c r="E118" s="57">
        <f>(C$6/28)*C92</f>
      </c>
    </row>
    <row r="119" ht="18" customHeight="1" spans="1:5" x14ac:dyDescent="0.25">
      <c r="A119" s="56" t="s">
        <v>84</v>
      </c>
      <c r="B119" s="56"/>
      <c r="C119" s="56"/>
      <c r="D119" s="56"/>
      <c r="E119" s="57">
        <f>E90</f>
      </c>
    </row>
    <row r="120" ht="18" customHeight="1" spans="1:5" x14ac:dyDescent="0.25">
      <c r="A120" s="56" t="s">
        <v>85</v>
      </c>
      <c r="B120" s="56"/>
      <c r="C120" s="56"/>
      <c r="D120" s="56"/>
      <c r="E120" s="57">
        <f>E91</f>
      </c>
    </row>
    <row r="121" ht="18" customHeight="1" spans="1:5" x14ac:dyDescent="0.25">
      <c r="A121" s="56" t="s">
        <v>86</v>
      </c>
      <c r="B121" s="56"/>
      <c r="C121" s="56"/>
      <c r="D121" s="56"/>
      <c r="E121" s="57">
        <f>E92</f>
      </c>
    </row>
    <row r="122" ht="22" customHeight="1" spans="1:5" x14ac:dyDescent="0.25">
      <c r="A122" s="58" t="s">
        <v>87</v>
      </c>
      <c r="B122" s="58"/>
      <c r="C122" s="58"/>
      <c r="D122" s="58"/>
      <c r="E122" s="59">
        <f>(C$6/28)*C92+E90+E91+E92</f>
      </c>
    </row>
    <row r="123" ht="22" customHeight="1" spans="1:5" x14ac:dyDescent="0.25">
      <c r="A123" s="60" t="s">
        <v>88</v>
      </c>
      <c r="B123" s="60"/>
      <c r="C123" s="60"/>
      <c r="D123" s="61">
        <f>F81</f>
      </c>
      <c r="E123" s="59">
        <f>E122*F81</f>
      </c>
    </row>
    <row r="124" ht="30" customHeight="1" spans="1:6" x14ac:dyDescent="0.25">
      <c r="A124" s="62" t="s">
        <v>89</v>
      </c>
      <c r="B124" s="62"/>
      <c r="C124" s="62"/>
      <c r="D124" s="62"/>
      <c r="E124" s="62"/>
      <c r="F124" s="62"/>
    </row>
    <row r="125" ht="10" customHeight="1" spans="1:6" x14ac:dyDescent="0.25">
      <c r="A125" s="3"/>
      <c r="B125" s="3"/>
      <c r="C125" s="3"/>
      <c r="D125" s="3"/>
      <c r="E125" s="3"/>
      <c r="F125" s="3"/>
    </row>
    <row r="126" ht="26" customHeight="1" spans="1:6" x14ac:dyDescent="0.25">
      <c r="A126" s="21" t="s">
        <v>92</v>
      </c>
      <c r="B126" s="21"/>
      <c r="C126" s="21"/>
      <c r="D126" s="21"/>
      <c r="E126" s="22" t="s">
        <v>48</v>
      </c>
      <c r="F126" s="17">
        <f>$C$20</f>
      </c>
    </row>
    <row r="127" ht="16" customHeight="1" spans="1:6" x14ac:dyDescent="0.25">
      <c r="A127" s="23" t="s">
        <v>3</v>
      </c>
      <c r="B127" s="24" t="s">
        <v>49</v>
      </c>
      <c r="C127" s="25" t="s">
        <v>50</v>
      </c>
      <c r="D127" s="25" t="s">
        <v>51</v>
      </c>
      <c r="E127" s="25" t="s">
        <v>52</v>
      </c>
      <c r="F127" s="25" t="s">
        <v>53</v>
      </c>
    </row>
    <row r="128" ht="18" customHeight="1" spans="2:6" x14ac:dyDescent="0.25">
      <c r="B128" s="9" t="s">
        <v>54</v>
      </c>
      <c r="E128" s="26">
        <f>C$6</f>
      </c>
      <c r="F128" s="27" t="s">
        <v>55</v>
      </c>
    </row>
    <row r="129" ht="18" customHeight="1" spans="2:6" x14ac:dyDescent="0.25">
      <c r="B129" s="12" t="s">
        <v>56</v>
      </c>
      <c r="C129" s="7">
        <f>C$11</f>
      </c>
      <c r="D129" s="28" t="s">
        <v>57</v>
      </c>
      <c r="E129" s="26">
        <f>C129</f>
      </c>
      <c r="F129" s="27" t="s">
        <v>55</v>
      </c>
    </row>
    <row r="130" ht="18" customHeight="1" spans="2:6" x14ac:dyDescent="0.25">
      <c r="B130" s="12" t="s">
        <v>32</v>
      </c>
      <c r="C130" s="29">
        <v>0</v>
      </c>
      <c r="D130" s="30">
        <f>C$24</f>
      </c>
      <c r="E130" s="26">
        <f>C130*D130</f>
      </c>
      <c r="F130" s="27" t="s">
        <v>55</v>
      </c>
    </row>
    <row r="131" ht="18" customHeight="1" spans="2:6" x14ac:dyDescent="0.25">
      <c r="B131" s="12" t="s">
        <v>34</v>
      </c>
      <c r="C131" s="29">
        <v>0</v>
      </c>
      <c r="D131" s="30">
        <f>C$25</f>
      </c>
      <c r="E131" s="26">
        <f>C131*D131</f>
      </c>
      <c r="F131" s="27" t="s">
        <v>55</v>
      </c>
    </row>
    <row r="132" ht="18" customHeight="1" spans="2:6" x14ac:dyDescent="0.25">
      <c r="B132" s="12" t="s">
        <v>35</v>
      </c>
      <c r="C132" s="29">
        <v>0</v>
      </c>
      <c r="D132" s="30">
        <f>C$26</f>
      </c>
      <c r="E132" s="26">
        <f>C132*D132</f>
      </c>
      <c r="F132" s="27" t="s">
        <v>55</v>
      </c>
    </row>
    <row r="133" ht="18" customHeight="1" spans="2:6" x14ac:dyDescent="0.25">
      <c r="B133" s="12" t="s">
        <v>36</v>
      </c>
      <c r="C133" s="29">
        <v>0</v>
      </c>
      <c r="D133" s="30">
        <f>C$27</f>
      </c>
      <c r="E133" s="26">
        <f>C133*D133</f>
      </c>
      <c r="F133" s="27" t="s">
        <v>55</v>
      </c>
    </row>
    <row r="134" ht="18" customHeight="1" spans="2:6" x14ac:dyDescent="0.25">
      <c r="B134" s="12" t="s">
        <v>37</v>
      </c>
      <c r="C134" s="29">
        <v>0</v>
      </c>
      <c r="D134" s="30">
        <f>C$28</f>
      </c>
      <c r="E134" s="26">
        <f>C134*D134</f>
      </c>
      <c r="F134" s="27" t="s">
        <v>55</v>
      </c>
    </row>
    <row r="135" ht="18" customHeight="1" spans="2:6" x14ac:dyDescent="0.25">
      <c r="B135" s="12" t="s">
        <v>38</v>
      </c>
      <c r="C135" s="29">
        <v>0</v>
      </c>
      <c r="D135" s="30">
        <f>C$29</f>
      </c>
      <c r="E135" s="26">
        <f>C135*D135</f>
      </c>
      <c r="F135" s="31" t="s">
        <v>58</v>
      </c>
    </row>
    <row r="136" ht="18" customHeight="1" spans="2:6" x14ac:dyDescent="0.25">
      <c r="B136" s="12" t="s">
        <v>40</v>
      </c>
      <c r="C136" s="29">
        <v>0</v>
      </c>
      <c r="D136" s="30">
        <f>C$30</f>
      </c>
      <c r="E136" s="26">
        <f>C136*D136</f>
      </c>
      <c r="F136" s="31" t="s">
        <v>58</v>
      </c>
    </row>
    <row r="137" ht="18" customHeight="1" spans="2:6" x14ac:dyDescent="0.25">
      <c r="B137" s="12" t="s">
        <v>59</v>
      </c>
      <c r="C137" s="29">
        <v>0</v>
      </c>
      <c r="D137" s="30">
        <f>C$33</f>
      </c>
      <c r="E137" s="26">
        <f>C137*D137</f>
      </c>
      <c r="F137" s="31" t="s">
        <v>58</v>
      </c>
    </row>
    <row r="138" ht="16" customHeight="1" spans="1:6" x14ac:dyDescent="0.25">
      <c r="A138" s="32" t="s">
        <v>60</v>
      </c>
      <c r="B138" s="32"/>
      <c r="C138" s="32"/>
      <c r="D138" s="32"/>
      <c r="E138" s="32"/>
      <c r="F138" s="32"/>
    </row>
    <row r="139" ht="18" customHeight="1" spans="2:6" x14ac:dyDescent="0.25">
      <c r="B139" s="12" t="s">
        <v>41</v>
      </c>
      <c r="C139" s="29">
        <v>0</v>
      </c>
      <c r="D139" s="30">
        <f>C$31</f>
      </c>
      <c r="E139" s="26">
        <f>C139*D139</f>
      </c>
      <c r="F139" s="27" t="s">
        <v>61</v>
      </c>
    </row>
    <row r="140" ht="18" customHeight="1" spans="2:6" x14ac:dyDescent="0.25">
      <c r="B140" s="12" t="s">
        <v>43</v>
      </c>
      <c r="C140" s="29">
        <v>0</v>
      </c>
      <c r="D140" s="30">
        <f>C$32</f>
      </c>
      <c r="E140" s="26">
        <f>C140*D140</f>
      </c>
      <c r="F140" s="27" t="s">
        <v>61</v>
      </c>
    </row>
    <row r="141" ht="16" customHeight="1" spans="1:6" x14ac:dyDescent="0.25">
      <c r="A141" s="33" t="s">
        <v>62</v>
      </c>
      <c r="B141" s="33"/>
      <c r="C141" s="33"/>
      <c r="D141" s="33"/>
      <c r="E141" s="33"/>
      <c r="F141" s="33"/>
    </row>
    <row r="142" ht="18" customHeight="1" spans="2:6" x14ac:dyDescent="0.25">
      <c r="B142" s="12" t="s">
        <v>63</v>
      </c>
      <c r="C142" s="7">
        <v>0</v>
      </c>
      <c r="D142" s="28" t="s">
        <v>57</v>
      </c>
      <c r="E142" s="34">
        <f>C142</f>
      </c>
      <c r="F142" s="35" t="s">
        <v>64</v>
      </c>
    </row>
    <row r="143" ht="18" customHeight="1" spans="2:6" x14ac:dyDescent="0.25">
      <c r="B143" s="12" t="s">
        <v>65</v>
      </c>
      <c r="C143" s="7">
        <v>0</v>
      </c>
      <c r="D143" s="28" t="s">
        <v>57</v>
      </c>
      <c r="E143" s="34">
        <f>C143</f>
      </c>
      <c r="F143" s="35" t="s">
        <v>64</v>
      </c>
    </row>
    <row r="144" ht="18" customHeight="1" spans="2:6" x14ac:dyDescent="0.25">
      <c r="B144" s="12" t="s">
        <v>66</v>
      </c>
      <c r="C144" s="29">
        <v>0</v>
      </c>
      <c r="D144" s="30">
        <f>C$34</f>
      </c>
      <c r="E144" s="34">
        <f>C144*D144</f>
      </c>
      <c r="F144" s="35" t="s">
        <v>64</v>
      </c>
    </row>
    <row r="145" ht="3" customHeight="1" spans="1:6" x14ac:dyDescent="0.25">
      <c r="A145" s="36"/>
      <c r="B145" s="36"/>
      <c r="C145" s="36"/>
      <c r="D145" s="36"/>
      <c r="E145" s="36"/>
      <c r="F145" s="36"/>
    </row>
    <row r="146" ht="20" customHeight="1" spans="1:5" x14ac:dyDescent="0.25">
      <c r="A146" s="37" t="s">
        <v>67</v>
      </c>
      <c r="B146" s="37"/>
      <c r="C146" s="37"/>
      <c r="D146" s="37"/>
      <c r="E146" s="38">
        <f>E128+E129+E130+E131+E132+E133+E134+E135+E136+E137+E139+E140</f>
      </c>
    </row>
    <row r="147" ht="20" customHeight="1" spans="1:5" x14ac:dyDescent="0.25">
      <c r="A147" s="39" t="s">
        <v>68</v>
      </c>
      <c r="B147" s="39"/>
      <c r="C147" s="39"/>
      <c r="D147" s="39"/>
      <c r="E147" s="34">
        <f>E142+E143+E144</f>
      </c>
    </row>
    <row r="148" ht="20" customHeight="1" spans="1:5" x14ac:dyDescent="0.25">
      <c r="A148" s="40" t="s">
        <v>69</v>
      </c>
      <c r="B148" s="40"/>
      <c r="C148" s="40"/>
      <c r="D148" s="40"/>
      <c r="E148" s="41">
        <f>E139+E140</f>
      </c>
    </row>
    <row r="149" ht="3" customHeight="1" spans="1:6" x14ac:dyDescent="0.25">
      <c r="A149" s="36"/>
      <c r="B149" s="36"/>
      <c r="C149" s="36"/>
      <c r="D149" s="36"/>
      <c r="E149" s="36"/>
      <c r="F149" s="36"/>
    </row>
    <row r="150" ht="16" customHeight="1" spans="1:6" x14ac:dyDescent="0.25">
      <c r="A150" s="42" t="s">
        <v>70</v>
      </c>
      <c r="B150" s="42"/>
      <c r="C150" s="42"/>
      <c r="D150" s="42"/>
      <c r="E150" s="42"/>
      <c r="F150" s="42"/>
    </row>
    <row r="151" ht="20" customHeight="1" spans="1:6" x14ac:dyDescent="0.25">
      <c r="A151" s="43" t="s">
        <v>71</v>
      </c>
      <c r="B151" s="43"/>
      <c r="C151" s="43"/>
      <c r="D151" s="43"/>
      <c r="E151" s="44">
        <f>E128+E129+E130+E131+E132+E133+E134+E135+E136+E137+C$10</f>
      </c>
      <c r="F151" s="45" t="s">
        <v>33</v>
      </c>
    </row>
    <row r="152" ht="20" customHeight="1" spans="1:6" x14ac:dyDescent="0.25">
      <c r="A152" s="43" t="s">
        <v>72</v>
      </c>
      <c r="B152" s="43"/>
      <c r="C152" s="43"/>
      <c r="D152" s="43"/>
      <c r="E152" s="44">
        <f>E151+E148</f>
      </c>
      <c r="F152" s="45" t="s">
        <v>73</v>
      </c>
    </row>
    <row r="153" ht="20" customHeight="1" spans="1:5" x14ac:dyDescent="0.25">
      <c r="A153" s="46" t="s">
        <v>74</v>
      </c>
      <c r="B153" s="46"/>
      <c r="C153" s="46"/>
      <c r="D153" s="47">
        <f>C$15</f>
      </c>
      <c r="E153" s="48">
        <f>E151*C$15</f>
      </c>
    </row>
    <row r="154" ht="20" customHeight="1" spans="1:5" x14ac:dyDescent="0.25">
      <c r="A154" s="46" t="s">
        <v>75</v>
      </c>
      <c r="B154" s="46"/>
      <c r="C154" s="46"/>
      <c r="D154" s="47">
        <f>C$16</f>
      </c>
      <c r="E154" s="48">
        <f>E152*C$16</f>
      </c>
    </row>
    <row r="155" ht="20" customHeight="1" spans="1:5" x14ac:dyDescent="0.25">
      <c r="A155" s="46" t="s">
        <v>76</v>
      </c>
      <c r="B155" s="46"/>
      <c r="C155" s="46"/>
      <c r="D155" s="47">
        <f>C$17</f>
      </c>
      <c r="E155" s="48">
        <f>E148*C$17</f>
      </c>
    </row>
    <row r="156" ht="20" customHeight="1" spans="1:5" x14ac:dyDescent="0.25">
      <c r="A156" s="46" t="s">
        <v>77</v>
      </c>
      <c r="B156" s="46"/>
      <c r="C156" s="46"/>
      <c r="D156" s="47">
        <f>C$18</f>
      </c>
      <c r="E156" s="48">
        <f>E152*C$18</f>
      </c>
    </row>
    <row r="157" ht="20" customHeight="1" spans="1:5" x14ac:dyDescent="0.25">
      <c r="A157" s="49" t="s">
        <v>78</v>
      </c>
      <c r="B157" s="49"/>
      <c r="C157" s="49"/>
      <c r="D157" s="49"/>
      <c r="E157" s="50">
        <f>E153+E154+E155+E156</f>
      </c>
    </row>
    <row r="158" ht="3" customHeight="1" spans="1:6" x14ac:dyDescent="0.25">
      <c r="A158" s="36"/>
      <c r="B158" s="36"/>
      <c r="C158" s="36"/>
      <c r="D158" s="36"/>
      <c r="E158" s="36"/>
      <c r="F158" s="36"/>
    </row>
    <row r="159" ht="22" customHeight="1" spans="1:5" x14ac:dyDescent="0.25">
      <c r="A159" s="51" t="s">
        <v>79</v>
      </c>
      <c r="B159" s="51"/>
      <c r="C159" s="51"/>
      <c r="D159" s="47">
        <f>F126</f>
      </c>
      <c r="E159" s="48">
        <f>E146*F126</f>
      </c>
    </row>
    <row r="160" ht="3" customHeight="1" spans="1:6" x14ac:dyDescent="0.25">
      <c r="A160" s="36"/>
      <c r="B160" s="36"/>
      <c r="C160" s="36"/>
      <c r="D160" s="36"/>
      <c r="E160" s="36"/>
      <c r="F160" s="36"/>
    </row>
    <row r="161" ht="30" customHeight="1" spans="1:6" x14ac:dyDescent="0.25">
      <c r="A161" s="52" t="s">
        <v>80</v>
      </c>
      <c r="B161" s="52"/>
      <c r="C161" s="52"/>
      <c r="D161" s="52"/>
      <c r="E161" s="53">
        <f>E146+E147-E157-E159</f>
      </c>
      <c r="F161" s="54" t="s">
        <v>81</v>
      </c>
    </row>
    <row r="162" ht="18" customHeight="1" spans="1:6" x14ac:dyDescent="0.25">
      <c r="A162" s="55" t="s">
        <v>82</v>
      </c>
      <c r="B162" s="55"/>
      <c r="C162" s="55"/>
      <c r="D162" s="55"/>
      <c r="E162" s="55"/>
      <c r="F162" s="55"/>
    </row>
    <row r="163" ht="18" customHeight="1" spans="1:5" x14ac:dyDescent="0.25">
      <c r="A163" s="56" t="s">
        <v>83</v>
      </c>
      <c r="B163" s="56"/>
      <c r="C163" s="56"/>
      <c r="D163" s="56"/>
      <c r="E163" s="57">
        <f>(C$6/31)*C137</f>
      </c>
    </row>
    <row r="164" ht="18" customHeight="1" spans="1:5" x14ac:dyDescent="0.25">
      <c r="A164" s="56" t="s">
        <v>84</v>
      </c>
      <c r="B164" s="56"/>
      <c r="C164" s="56"/>
      <c r="D164" s="56"/>
      <c r="E164" s="57">
        <f>E135</f>
      </c>
    </row>
    <row r="165" ht="18" customHeight="1" spans="1:5" x14ac:dyDescent="0.25">
      <c r="A165" s="56" t="s">
        <v>85</v>
      </c>
      <c r="B165" s="56"/>
      <c r="C165" s="56"/>
      <c r="D165" s="56"/>
      <c r="E165" s="57">
        <f>E136</f>
      </c>
    </row>
    <row r="166" ht="18" customHeight="1" spans="1:5" x14ac:dyDescent="0.25">
      <c r="A166" s="56" t="s">
        <v>86</v>
      </c>
      <c r="B166" s="56"/>
      <c r="C166" s="56"/>
      <c r="D166" s="56"/>
      <c r="E166" s="57">
        <f>E137</f>
      </c>
    </row>
    <row r="167" ht="22" customHeight="1" spans="1:5" x14ac:dyDescent="0.25">
      <c r="A167" s="58" t="s">
        <v>87</v>
      </c>
      <c r="B167" s="58"/>
      <c r="C167" s="58"/>
      <c r="D167" s="58"/>
      <c r="E167" s="59">
        <f>(C$6/31)*C137+E135+E136+E137</f>
      </c>
    </row>
    <row r="168" ht="22" customHeight="1" spans="1:5" x14ac:dyDescent="0.25">
      <c r="A168" s="60" t="s">
        <v>88</v>
      </c>
      <c r="B168" s="60"/>
      <c r="C168" s="60"/>
      <c r="D168" s="61">
        <f>F126</f>
      </c>
      <c r="E168" s="59">
        <f>E167*F126</f>
      </c>
    </row>
    <row r="169" ht="30" customHeight="1" spans="1:6" x14ac:dyDescent="0.25">
      <c r="A169" s="62" t="s">
        <v>89</v>
      </c>
      <c r="B169" s="62"/>
      <c r="C169" s="62"/>
      <c r="D169" s="62"/>
      <c r="E169" s="62"/>
      <c r="F169" s="62"/>
    </row>
    <row r="170" ht="10" customHeight="1" spans="1:6" x14ac:dyDescent="0.25">
      <c r="A170" s="3"/>
      <c r="B170" s="3"/>
      <c r="C170" s="3"/>
      <c r="D170" s="3"/>
      <c r="E170" s="3"/>
      <c r="F170" s="3"/>
    </row>
    <row r="171" ht="26" customHeight="1" spans="1:6" x14ac:dyDescent="0.25">
      <c r="A171" s="21" t="s">
        <v>93</v>
      </c>
      <c r="B171" s="21"/>
      <c r="C171" s="21"/>
      <c r="D171" s="21"/>
      <c r="E171" s="22" t="s">
        <v>94</v>
      </c>
      <c r="F171" s="17">
        <f>$C$20</f>
      </c>
    </row>
    <row r="172" ht="16" customHeight="1" spans="1:6" x14ac:dyDescent="0.25">
      <c r="A172" s="23" t="s">
        <v>3</v>
      </c>
      <c r="B172" s="24" t="s">
        <v>49</v>
      </c>
      <c r="C172" s="25" t="s">
        <v>50</v>
      </c>
      <c r="D172" s="25" t="s">
        <v>51</v>
      </c>
      <c r="E172" s="25" t="s">
        <v>52</v>
      </c>
      <c r="F172" s="25" t="s">
        <v>53</v>
      </c>
    </row>
    <row r="173" ht="18" customHeight="1" spans="2:6" x14ac:dyDescent="0.25">
      <c r="B173" s="9" t="s">
        <v>54</v>
      </c>
      <c r="E173" s="26">
        <f>C$6</f>
      </c>
      <c r="F173" s="27" t="s">
        <v>55</v>
      </c>
    </row>
    <row r="174" ht="18" customHeight="1" spans="2:6" x14ac:dyDescent="0.25">
      <c r="B174" s="12" t="s">
        <v>56</v>
      </c>
      <c r="C174" s="7">
        <f>C$11</f>
      </c>
      <c r="D174" s="28" t="s">
        <v>57</v>
      </c>
      <c r="E174" s="26">
        <f>C174</f>
      </c>
      <c r="F174" s="27" t="s">
        <v>55</v>
      </c>
    </row>
    <row r="175" ht="18" customHeight="1" spans="2:6" x14ac:dyDescent="0.25">
      <c r="B175" s="12" t="s">
        <v>32</v>
      </c>
      <c r="C175" s="29">
        <v>0</v>
      </c>
      <c r="D175" s="30">
        <f>C$24</f>
      </c>
      <c r="E175" s="26">
        <f>C175*D175</f>
      </c>
      <c r="F175" s="27" t="s">
        <v>55</v>
      </c>
    </row>
    <row r="176" ht="18" customHeight="1" spans="2:6" x14ac:dyDescent="0.25">
      <c r="B176" s="12" t="s">
        <v>34</v>
      </c>
      <c r="C176" s="29">
        <v>0</v>
      </c>
      <c r="D176" s="30">
        <f>C$25</f>
      </c>
      <c r="E176" s="26">
        <f>C176*D176</f>
      </c>
      <c r="F176" s="27" t="s">
        <v>55</v>
      </c>
    </row>
    <row r="177" ht="18" customHeight="1" spans="2:6" x14ac:dyDescent="0.25">
      <c r="B177" s="12" t="s">
        <v>35</v>
      </c>
      <c r="C177" s="29">
        <v>0</v>
      </c>
      <c r="D177" s="30">
        <f>C$26</f>
      </c>
      <c r="E177" s="26">
        <f>C177*D177</f>
      </c>
      <c r="F177" s="27" t="s">
        <v>55</v>
      </c>
    </row>
    <row r="178" ht="18" customHeight="1" spans="2:6" x14ac:dyDescent="0.25">
      <c r="B178" s="12" t="s">
        <v>36</v>
      </c>
      <c r="C178" s="29">
        <v>0</v>
      </c>
      <c r="D178" s="30">
        <f>C$27</f>
      </c>
      <c r="E178" s="26">
        <f>C178*D178</f>
      </c>
      <c r="F178" s="27" t="s">
        <v>55</v>
      </c>
    </row>
    <row r="179" ht="18" customHeight="1" spans="2:6" x14ac:dyDescent="0.25">
      <c r="B179" s="12" t="s">
        <v>37</v>
      </c>
      <c r="C179" s="29">
        <v>0</v>
      </c>
      <c r="D179" s="30">
        <f>C$28</f>
      </c>
      <c r="E179" s="26">
        <f>C179*D179</f>
      </c>
      <c r="F179" s="27" t="s">
        <v>55</v>
      </c>
    </row>
    <row r="180" ht="18" customHeight="1" spans="2:6" x14ac:dyDescent="0.25">
      <c r="B180" s="12" t="s">
        <v>38</v>
      </c>
      <c r="C180" s="29">
        <v>0</v>
      </c>
      <c r="D180" s="30">
        <f>C$29</f>
      </c>
      <c r="E180" s="26">
        <f>C180*D180</f>
      </c>
      <c r="F180" s="31" t="s">
        <v>58</v>
      </c>
    </row>
    <row r="181" ht="18" customHeight="1" spans="2:6" x14ac:dyDescent="0.25">
      <c r="B181" s="12" t="s">
        <v>40</v>
      </c>
      <c r="C181" s="29">
        <v>0</v>
      </c>
      <c r="D181" s="30">
        <f>C$30</f>
      </c>
      <c r="E181" s="26">
        <f>C181*D181</f>
      </c>
      <c r="F181" s="31" t="s">
        <v>58</v>
      </c>
    </row>
    <row r="182" ht="18" customHeight="1" spans="2:6" x14ac:dyDescent="0.25">
      <c r="B182" s="12" t="s">
        <v>59</v>
      </c>
      <c r="C182" s="29">
        <v>0</v>
      </c>
      <c r="D182" s="30">
        <f>C$33</f>
      </c>
      <c r="E182" s="26">
        <f>C182*D182</f>
      </c>
      <c r="F182" s="31" t="s">
        <v>58</v>
      </c>
    </row>
    <row r="183" ht="16" customHeight="1" spans="1:6" x14ac:dyDescent="0.25">
      <c r="A183" s="32" t="s">
        <v>60</v>
      </c>
      <c r="B183" s="32"/>
      <c r="C183" s="32"/>
      <c r="D183" s="32"/>
      <c r="E183" s="32"/>
      <c r="F183" s="32"/>
    </row>
    <row r="184" ht="18" customHeight="1" spans="2:6" x14ac:dyDescent="0.25">
      <c r="B184" s="12" t="s">
        <v>41</v>
      </c>
      <c r="C184" s="29">
        <v>0</v>
      </c>
      <c r="D184" s="30">
        <f>C$31</f>
      </c>
      <c r="E184" s="26">
        <f>C184*D184</f>
      </c>
      <c r="F184" s="27" t="s">
        <v>61</v>
      </c>
    </row>
    <row r="185" ht="18" customHeight="1" spans="2:6" x14ac:dyDescent="0.25">
      <c r="B185" s="12" t="s">
        <v>43</v>
      </c>
      <c r="C185" s="29">
        <v>0</v>
      </c>
      <c r="D185" s="30">
        <f>C$32</f>
      </c>
      <c r="E185" s="26">
        <f>C185*D185</f>
      </c>
      <c r="F185" s="27" t="s">
        <v>61</v>
      </c>
    </row>
    <row r="186" ht="16" customHeight="1" spans="1:6" x14ac:dyDescent="0.25">
      <c r="A186" s="33" t="s">
        <v>62</v>
      </c>
      <c r="B186" s="33"/>
      <c r="C186" s="33"/>
      <c r="D186" s="33"/>
      <c r="E186" s="33"/>
      <c r="F186" s="33"/>
    </row>
    <row r="187" ht="18" customHeight="1" spans="2:6" x14ac:dyDescent="0.25">
      <c r="B187" s="12" t="s">
        <v>63</v>
      </c>
      <c r="C187" s="7">
        <v>0</v>
      </c>
      <c r="D187" s="28" t="s">
        <v>57</v>
      </c>
      <c r="E187" s="34">
        <f>C187</f>
      </c>
      <c r="F187" s="35" t="s">
        <v>64</v>
      </c>
    </row>
    <row r="188" ht="18" customHeight="1" spans="2:6" x14ac:dyDescent="0.25">
      <c r="B188" s="12" t="s">
        <v>65</v>
      </c>
      <c r="C188" s="7">
        <v>0</v>
      </c>
      <c r="D188" s="28" t="s">
        <v>57</v>
      </c>
      <c r="E188" s="34">
        <f>C188</f>
      </c>
      <c r="F188" s="35" t="s">
        <v>64</v>
      </c>
    </row>
    <row r="189" ht="18" customHeight="1" spans="2:6" x14ac:dyDescent="0.25">
      <c r="B189" s="12" t="s">
        <v>66</v>
      </c>
      <c r="C189" s="29">
        <v>0</v>
      </c>
      <c r="D189" s="30">
        <f>C$34</f>
      </c>
      <c r="E189" s="34">
        <f>C189*D189</f>
      </c>
      <c r="F189" s="35" t="s">
        <v>64</v>
      </c>
    </row>
    <row r="190" ht="3" customHeight="1" spans="1:6" x14ac:dyDescent="0.25">
      <c r="A190" s="36"/>
      <c r="B190" s="36"/>
      <c r="C190" s="36"/>
      <c r="D190" s="36"/>
      <c r="E190" s="36"/>
      <c r="F190" s="36"/>
    </row>
    <row r="191" ht="20" customHeight="1" spans="1:5" x14ac:dyDescent="0.25">
      <c r="A191" s="37" t="s">
        <v>67</v>
      </c>
      <c r="B191" s="37"/>
      <c r="C191" s="37"/>
      <c r="D191" s="37"/>
      <c r="E191" s="38">
        <f>E173+E174+E175+E176+E177+E178+E179+E180+E181+E182+E184+E185</f>
      </c>
    </row>
    <row r="192" ht="20" customHeight="1" spans="1:5" x14ac:dyDescent="0.25">
      <c r="A192" s="39" t="s">
        <v>68</v>
      </c>
      <c r="B192" s="39"/>
      <c r="C192" s="39"/>
      <c r="D192" s="39"/>
      <c r="E192" s="34">
        <f>E187+E188+E189</f>
      </c>
    </row>
    <row r="193" ht="20" customHeight="1" spans="1:5" x14ac:dyDescent="0.25">
      <c r="A193" s="40" t="s">
        <v>69</v>
      </c>
      <c r="B193" s="40"/>
      <c r="C193" s="40"/>
      <c r="D193" s="40"/>
      <c r="E193" s="41">
        <f>E184+E185</f>
      </c>
    </row>
    <row r="194" ht="3" customHeight="1" spans="1:6" x14ac:dyDescent="0.25">
      <c r="A194" s="36"/>
      <c r="B194" s="36"/>
      <c r="C194" s="36"/>
      <c r="D194" s="36"/>
      <c r="E194" s="36"/>
      <c r="F194" s="36"/>
    </row>
    <row r="195" ht="16" customHeight="1" spans="1:6" x14ac:dyDescent="0.25">
      <c r="A195" s="42" t="s">
        <v>70</v>
      </c>
      <c r="B195" s="42"/>
      <c r="C195" s="42"/>
      <c r="D195" s="42"/>
      <c r="E195" s="42"/>
      <c r="F195" s="42"/>
    </row>
    <row r="196" ht="20" customHeight="1" spans="1:6" x14ac:dyDescent="0.25">
      <c r="A196" s="43" t="s">
        <v>71</v>
      </c>
      <c r="B196" s="43"/>
      <c r="C196" s="43"/>
      <c r="D196" s="43"/>
      <c r="E196" s="44">
        <f>E173+E174+E175+E176+E177+E178+E179+E180+E181+E182+C$10</f>
      </c>
      <c r="F196" s="45" t="s">
        <v>33</v>
      </c>
    </row>
    <row r="197" ht="20" customHeight="1" spans="1:6" x14ac:dyDescent="0.25">
      <c r="A197" s="43" t="s">
        <v>72</v>
      </c>
      <c r="B197" s="43"/>
      <c r="C197" s="43"/>
      <c r="D197" s="43"/>
      <c r="E197" s="44">
        <f>E196+E193</f>
      </c>
      <c r="F197" s="45" t="s">
        <v>73</v>
      </c>
    </row>
    <row r="198" ht="20" customHeight="1" spans="1:5" x14ac:dyDescent="0.25">
      <c r="A198" s="46" t="s">
        <v>74</v>
      </c>
      <c r="B198" s="46"/>
      <c r="C198" s="46"/>
      <c r="D198" s="47">
        <f>C$15</f>
      </c>
      <c r="E198" s="48">
        <f>E196*C$15</f>
      </c>
    </row>
    <row r="199" ht="20" customHeight="1" spans="1:5" x14ac:dyDescent="0.25">
      <c r="A199" s="46" t="s">
        <v>75</v>
      </c>
      <c r="B199" s="46"/>
      <c r="C199" s="46"/>
      <c r="D199" s="47">
        <f>C$16</f>
      </c>
      <c r="E199" s="48">
        <f>E197*C$16</f>
      </c>
    </row>
    <row r="200" ht="20" customHeight="1" spans="1:5" x14ac:dyDescent="0.25">
      <c r="A200" s="46" t="s">
        <v>76</v>
      </c>
      <c r="B200" s="46"/>
      <c r="C200" s="46"/>
      <c r="D200" s="47">
        <f>C$17</f>
      </c>
      <c r="E200" s="48">
        <f>E193*C$17</f>
      </c>
    </row>
    <row r="201" ht="20" customHeight="1" spans="1:5" x14ac:dyDescent="0.25">
      <c r="A201" s="46" t="s">
        <v>77</v>
      </c>
      <c r="B201" s="46"/>
      <c r="C201" s="46"/>
      <c r="D201" s="47">
        <f>C$18</f>
      </c>
      <c r="E201" s="48">
        <f>E197*C$18</f>
      </c>
    </row>
    <row r="202" ht="20" customHeight="1" spans="1:5" x14ac:dyDescent="0.25">
      <c r="A202" s="49" t="s">
        <v>78</v>
      </c>
      <c r="B202" s="49"/>
      <c r="C202" s="49"/>
      <c r="D202" s="49"/>
      <c r="E202" s="50">
        <f>E198+E199+E200+E201</f>
      </c>
    </row>
    <row r="203" ht="3" customHeight="1" spans="1:6" x14ac:dyDescent="0.25">
      <c r="A203" s="36"/>
      <c r="B203" s="36"/>
      <c r="C203" s="36"/>
      <c r="D203" s="36"/>
      <c r="E203" s="36"/>
      <c r="F203" s="36"/>
    </row>
    <row r="204" ht="22" customHeight="1" spans="1:5" x14ac:dyDescent="0.25">
      <c r="A204" s="51" t="s">
        <v>79</v>
      </c>
      <c r="B204" s="51"/>
      <c r="C204" s="51"/>
      <c r="D204" s="47">
        <f>F171</f>
      </c>
      <c r="E204" s="48">
        <f>E191*F171</f>
      </c>
    </row>
    <row r="205" ht="3" customHeight="1" spans="1:6" x14ac:dyDescent="0.25">
      <c r="A205" s="36"/>
      <c r="B205" s="36"/>
      <c r="C205" s="36"/>
      <c r="D205" s="36"/>
      <c r="E205" s="36"/>
      <c r="F205" s="36"/>
    </row>
    <row r="206" ht="30" customHeight="1" spans="1:6" x14ac:dyDescent="0.25">
      <c r="A206" s="52" t="s">
        <v>80</v>
      </c>
      <c r="B206" s="52"/>
      <c r="C206" s="52"/>
      <c r="D206" s="52"/>
      <c r="E206" s="53">
        <f>E191+E192-E202-E204</f>
      </c>
      <c r="F206" s="54" t="s">
        <v>81</v>
      </c>
    </row>
    <row r="207" ht="18" customHeight="1" spans="1:6" x14ac:dyDescent="0.25">
      <c r="A207" s="55" t="s">
        <v>82</v>
      </c>
      <c r="B207" s="55"/>
      <c r="C207" s="55"/>
      <c r="D207" s="55"/>
      <c r="E207" s="55"/>
      <c r="F207" s="55"/>
    </row>
    <row r="208" ht="18" customHeight="1" spans="1:5" x14ac:dyDescent="0.25">
      <c r="A208" s="56" t="s">
        <v>83</v>
      </c>
      <c r="B208" s="56"/>
      <c r="C208" s="56"/>
      <c r="D208" s="56"/>
      <c r="E208" s="57">
        <f>(C$6/30)*C182</f>
      </c>
    </row>
    <row r="209" ht="18" customHeight="1" spans="1:5" x14ac:dyDescent="0.25">
      <c r="A209" s="56" t="s">
        <v>84</v>
      </c>
      <c r="B209" s="56"/>
      <c r="C209" s="56"/>
      <c r="D209" s="56"/>
      <c r="E209" s="57">
        <f>E180</f>
      </c>
    </row>
    <row r="210" ht="18" customHeight="1" spans="1:5" x14ac:dyDescent="0.25">
      <c r="A210" s="56" t="s">
        <v>85</v>
      </c>
      <c r="B210" s="56"/>
      <c r="C210" s="56"/>
      <c r="D210" s="56"/>
      <c r="E210" s="57">
        <f>E181</f>
      </c>
    </row>
    <row r="211" ht="18" customHeight="1" spans="1:5" x14ac:dyDescent="0.25">
      <c r="A211" s="56" t="s">
        <v>86</v>
      </c>
      <c r="B211" s="56"/>
      <c r="C211" s="56"/>
      <c r="D211" s="56"/>
      <c r="E211" s="57">
        <f>E182</f>
      </c>
    </row>
    <row r="212" ht="22" customHeight="1" spans="1:5" x14ac:dyDescent="0.25">
      <c r="A212" s="58" t="s">
        <v>87</v>
      </c>
      <c r="B212" s="58"/>
      <c r="C212" s="58"/>
      <c r="D212" s="58"/>
      <c r="E212" s="59">
        <f>(C$6/30)*C182+E180+E181+E182</f>
      </c>
    </row>
    <row r="213" ht="22" customHeight="1" spans="1:5" x14ac:dyDescent="0.25">
      <c r="A213" s="60" t="s">
        <v>88</v>
      </c>
      <c r="B213" s="60"/>
      <c r="C213" s="60"/>
      <c r="D213" s="61">
        <f>F171</f>
      </c>
      <c r="E213" s="59">
        <f>E212*F171</f>
      </c>
    </row>
    <row r="214" ht="30" customHeight="1" spans="1:6" x14ac:dyDescent="0.25">
      <c r="A214" s="62" t="s">
        <v>89</v>
      </c>
      <c r="B214" s="62"/>
      <c r="C214" s="62"/>
      <c r="D214" s="62"/>
      <c r="E214" s="62"/>
      <c r="F214" s="62"/>
    </row>
    <row r="215" ht="10" customHeight="1" spans="1:6" x14ac:dyDescent="0.25">
      <c r="A215" s="3"/>
      <c r="B215" s="3"/>
      <c r="C215" s="3"/>
      <c r="D215" s="3"/>
      <c r="E215" s="3"/>
      <c r="F215" s="3"/>
    </row>
    <row r="216" ht="26" customHeight="1" spans="1:6" x14ac:dyDescent="0.25">
      <c r="A216" s="21" t="s">
        <v>95</v>
      </c>
      <c r="B216" s="21"/>
      <c r="C216" s="21"/>
      <c r="D216" s="21"/>
      <c r="E216" s="22" t="s">
        <v>48</v>
      </c>
      <c r="F216" s="17">
        <f>$C$20</f>
      </c>
    </row>
    <row r="217" ht="16" customHeight="1" spans="1:6" x14ac:dyDescent="0.25">
      <c r="A217" s="23" t="s">
        <v>3</v>
      </c>
      <c r="B217" s="24" t="s">
        <v>49</v>
      </c>
      <c r="C217" s="25" t="s">
        <v>50</v>
      </c>
      <c r="D217" s="25" t="s">
        <v>51</v>
      </c>
      <c r="E217" s="25" t="s">
        <v>52</v>
      </c>
      <c r="F217" s="25" t="s">
        <v>53</v>
      </c>
    </row>
    <row r="218" ht="18" customHeight="1" spans="2:6" x14ac:dyDescent="0.25">
      <c r="B218" s="9" t="s">
        <v>54</v>
      </c>
      <c r="E218" s="26">
        <f>C$6</f>
      </c>
      <c r="F218" s="27" t="s">
        <v>55</v>
      </c>
    </row>
    <row r="219" ht="18" customHeight="1" spans="2:6" x14ac:dyDescent="0.25">
      <c r="B219" s="12" t="s">
        <v>56</v>
      </c>
      <c r="C219" s="7">
        <f>C$11</f>
      </c>
      <c r="D219" s="28" t="s">
        <v>57</v>
      </c>
      <c r="E219" s="26">
        <f>C219</f>
      </c>
      <c r="F219" s="27" t="s">
        <v>55</v>
      </c>
    </row>
    <row r="220" ht="18" customHeight="1" spans="2:6" x14ac:dyDescent="0.25">
      <c r="B220" s="12" t="s">
        <v>32</v>
      </c>
      <c r="C220" s="29">
        <v>0</v>
      </c>
      <c r="D220" s="30">
        <f>C$24</f>
      </c>
      <c r="E220" s="26">
        <f>C220*D220</f>
      </c>
      <c r="F220" s="27" t="s">
        <v>55</v>
      </c>
    </row>
    <row r="221" ht="18" customHeight="1" spans="2:6" x14ac:dyDescent="0.25">
      <c r="B221" s="12" t="s">
        <v>34</v>
      </c>
      <c r="C221" s="29">
        <v>0</v>
      </c>
      <c r="D221" s="30">
        <f>C$25</f>
      </c>
      <c r="E221" s="26">
        <f>C221*D221</f>
      </c>
      <c r="F221" s="27" t="s">
        <v>55</v>
      </c>
    </row>
    <row r="222" ht="18" customHeight="1" spans="2:6" x14ac:dyDescent="0.25">
      <c r="B222" s="12" t="s">
        <v>35</v>
      </c>
      <c r="C222" s="29">
        <v>0</v>
      </c>
      <c r="D222" s="30">
        <f>C$26</f>
      </c>
      <c r="E222" s="26">
        <f>C222*D222</f>
      </c>
      <c r="F222" s="27" t="s">
        <v>55</v>
      </c>
    </row>
    <row r="223" ht="18" customHeight="1" spans="2:6" x14ac:dyDescent="0.25">
      <c r="B223" s="12" t="s">
        <v>36</v>
      </c>
      <c r="C223" s="29">
        <v>0</v>
      </c>
      <c r="D223" s="30">
        <f>C$27</f>
      </c>
      <c r="E223" s="26">
        <f>C223*D223</f>
      </c>
      <c r="F223" s="27" t="s">
        <v>55</v>
      </c>
    </row>
    <row r="224" ht="18" customHeight="1" spans="2:6" x14ac:dyDescent="0.25">
      <c r="B224" s="12" t="s">
        <v>37</v>
      </c>
      <c r="C224" s="29">
        <v>0</v>
      </c>
      <c r="D224" s="30">
        <f>C$28</f>
      </c>
      <c r="E224" s="26">
        <f>C224*D224</f>
      </c>
      <c r="F224" s="27" t="s">
        <v>55</v>
      </c>
    </row>
    <row r="225" ht="18" customHeight="1" spans="2:6" x14ac:dyDescent="0.25">
      <c r="B225" s="12" t="s">
        <v>38</v>
      </c>
      <c r="C225" s="29">
        <v>0</v>
      </c>
      <c r="D225" s="30">
        <f>C$29</f>
      </c>
      <c r="E225" s="26">
        <f>C225*D225</f>
      </c>
      <c r="F225" s="31" t="s">
        <v>58</v>
      </c>
    </row>
    <row r="226" ht="18" customHeight="1" spans="2:6" x14ac:dyDescent="0.25">
      <c r="B226" s="12" t="s">
        <v>40</v>
      </c>
      <c r="C226" s="29">
        <v>0</v>
      </c>
      <c r="D226" s="30">
        <f>C$30</f>
      </c>
      <c r="E226" s="26">
        <f>C226*D226</f>
      </c>
      <c r="F226" s="31" t="s">
        <v>58</v>
      </c>
    </row>
    <row r="227" ht="18" customHeight="1" spans="2:6" x14ac:dyDescent="0.25">
      <c r="B227" s="12" t="s">
        <v>59</v>
      </c>
      <c r="C227" s="29">
        <v>0</v>
      </c>
      <c r="D227" s="30">
        <f>C$33</f>
      </c>
      <c r="E227" s="26">
        <f>C227*D227</f>
      </c>
      <c r="F227" s="31" t="s">
        <v>58</v>
      </c>
    </row>
    <row r="228" ht="16" customHeight="1" spans="1:6" x14ac:dyDescent="0.25">
      <c r="A228" s="32" t="s">
        <v>60</v>
      </c>
      <c r="B228" s="32"/>
      <c r="C228" s="32"/>
      <c r="D228" s="32"/>
      <c r="E228" s="32"/>
      <c r="F228" s="32"/>
    </row>
    <row r="229" ht="18" customHeight="1" spans="2:6" x14ac:dyDescent="0.25">
      <c r="B229" s="12" t="s">
        <v>41</v>
      </c>
      <c r="C229" s="29">
        <v>0</v>
      </c>
      <c r="D229" s="30">
        <f>C$31</f>
      </c>
      <c r="E229" s="26">
        <f>C229*D229</f>
      </c>
      <c r="F229" s="27" t="s">
        <v>61</v>
      </c>
    </row>
    <row r="230" ht="18" customHeight="1" spans="2:6" x14ac:dyDescent="0.25">
      <c r="B230" s="12" t="s">
        <v>43</v>
      </c>
      <c r="C230" s="29">
        <v>0</v>
      </c>
      <c r="D230" s="30">
        <f>C$32</f>
      </c>
      <c r="E230" s="26">
        <f>C230*D230</f>
      </c>
      <c r="F230" s="27" t="s">
        <v>61</v>
      </c>
    </row>
    <row r="231" ht="16" customHeight="1" spans="1:6" x14ac:dyDescent="0.25">
      <c r="A231" s="33" t="s">
        <v>62</v>
      </c>
      <c r="B231" s="33"/>
      <c r="C231" s="33"/>
      <c r="D231" s="33"/>
      <c r="E231" s="33"/>
      <c r="F231" s="33"/>
    </row>
    <row r="232" ht="18" customHeight="1" spans="2:6" x14ac:dyDescent="0.25">
      <c r="B232" s="12" t="s">
        <v>63</v>
      </c>
      <c r="C232" s="7">
        <v>0</v>
      </c>
      <c r="D232" s="28" t="s">
        <v>57</v>
      </c>
      <c r="E232" s="34">
        <f>C232</f>
      </c>
      <c r="F232" s="35" t="s">
        <v>64</v>
      </c>
    </row>
    <row r="233" ht="18" customHeight="1" spans="2:6" x14ac:dyDescent="0.25">
      <c r="B233" s="12" t="s">
        <v>65</v>
      </c>
      <c r="C233" s="7">
        <v>0</v>
      </c>
      <c r="D233" s="28" t="s">
        <v>57</v>
      </c>
      <c r="E233" s="34">
        <f>C233</f>
      </c>
      <c r="F233" s="35" t="s">
        <v>64</v>
      </c>
    </row>
    <row r="234" ht="18" customHeight="1" spans="2:6" x14ac:dyDescent="0.25">
      <c r="B234" s="12" t="s">
        <v>66</v>
      </c>
      <c r="C234" s="29">
        <v>0</v>
      </c>
      <c r="D234" s="30">
        <f>C$34</f>
      </c>
      <c r="E234" s="34">
        <f>C234*D234</f>
      </c>
      <c r="F234" s="35" t="s">
        <v>64</v>
      </c>
    </row>
    <row r="235" ht="3" customHeight="1" spans="1:6" x14ac:dyDescent="0.25">
      <c r="A235" s="36"/>
      <c r="B235" s="36"/>
      <c r="C235" s="36"/>
      <c r="D235" s="36"/>
      <c r="E235" s="36"/>
      <c r="F235" s="36"/>
    </row>
    <row r="236" ht="20" customHeight="1" spans="1:5" x14ac:dyDescent="0.25">
      <c r="A236" s="37" t="s">
        <v>67</v>
      </c>
      <c r="B236" s="37"/>
      <c r="C236" s="37"/>
      <c r="D236" s="37"/>
      <c r="E236" s="38">
        <f>E218+E219+E220+E221+E222+E223+E224+E225+E226+E227+E229+E230</f>
      </c>
    </row>
    <row r="237" ht="20" customHeight="1" spans="1:5" x14ac:dyDescent="0.25">
      <c r="A237" s="39" t="s">
        <v>68</v>
      </c>
      <c r="B237" s="39"/>
      <c r="C237" s="39"/>
      <c r="D237" s="39"/>
      <c r="E237" s="34">
        <f>E232+E233+E234</f>
      </c>
    </row>
    <row r="238" ht="20" customHeight="1" spans="1:5" x14ac:dyDescent="0.25">
      <c r="A238" s="40" t="s">
        <v>69</v>
      </c>
      <c r="B238" s="40"/>
      <c r="C238" s="40"/>
      <c r="D238" s="40"/>
      <c r="E238" s="41">
        <f>E229+E230</f>
      </c>
    </row>
    <row r="239" ht="3" customHeight="1" spans="1:6" x14ac:dyDescent="0.25">
      <c r="A239" s="36"/>
      <c r="B239" s="36"/>
      <c r="C239" s="36"/>
      <c r="D239" s="36"/>
      <c r="E239" s="36"/>
      <c r="F239" s="36"/>
    </row>
    <row r="240" ht="16" customHeight="1" spans="1:6" x14ac:dyDescent="0.25">
      <c r="A240" s="42" t="s">
        <v>70</v>
      </c>
      <c r="B240" s="42"/>
      <c r="C240" s="42"/>
      <c r="D240" s="42"/>
      <c r="E240" s="42"/>
      <c r="F240" s="42"/>
    </row>
    <row r="241" ht="20" customHeight="1" spans="1:6" x14ac:dyDescent="0.25">
      <c r="A241" s="43" t="s">
        <v>71</v>
      </c>
      <c r="B241" s="43"/>
      <c r="C241" s="43"/>
      <c r="D241" s="43"/>
      <c r="E241" s="44">
        <f>E218+E219+E220+E221+E222+E223+E224+E225+E226+E227+C$10</f>
      </c>
      <c r="F241" s="45" t="s">
        <v>33</v>
      </c>
    </row>
    <row r="242" ht="20" customHeight="1" spans="1:6" x14ac:dyDescent="0.25">
      <c r="A242" s="43" t="s">
        <v>72</v>
      </c>
      <c r="B242" s="43"/>
      <c r="C242" s="43"/>
      <c r="D242" s="43"/>
      <c r="E242" s="44">
        <f>E241+E238</f>
      </c>
      <c r="F242" s="45" t="s">
        <v>73</v>
      </c>
    </row>
    <row r="243" ht="20" customHeight="1" spans="1:5" x14ac:dyDescent="0.25">
      <c r="A243" s="46" t="s">
        <v>74</v>
      </c>
      <c r="B243" s="46"/>
      <c r="C243" s="46"/>
      <c r="D243" s="47">
        <f>C$15</f>
      </c>
      <c r="E243" s="48">
        <f>E241*C$15</f>
      </c>
    </row>
    <row r="244" ht="20" customHeight="1" spans="1:5" x14ac:dyDescent="0.25">
      <c r="A244" s="46" t="s">
        <v>75</v>
      </c>
      <c r="B244" s="46"/>
      <c r="C244" s="46"/>
      <c r="D244" s="47">
        <f>C$16</f>
      </c>
      <c r="E244" s="48">
        <f>E242*C$16</f>
      </c>
    </row>
    <row r="245" ht="20" customHeight="1" spans="1:5" x14ac:dyDescent="0.25">
      <c r="A245" s="46" t="s">
        <v>76</v>
      </c>
      <c r="B245" s="46"/>
      <c r="C245" s="46"/>
      <c r="D245" s="47">
        <f>C$17</f>
      </c>
      <c r="E245" s="48">
        <f>E238*C$17</f>
      </c>
    </row>
    <row r="246" ht="20" customHeight="1" spans="1:5" x14ac:dyDescent="0.25">
      <c r="A246" s="46" t="s">
        <v>77</v>
      </c>
      <c r="B246" s="46"/>
      <c r="C246" s="46"/>
      <c r="D246" s="47">
        <f>C$18</f>
      </c>
      <c r="E246" s="48">
        <f>E242*C$18</f>
      </c>
    </row>
    <row r="247" ht="20" customHeight="1" spans="1:5" x14ac:dyDescent="0.25">
      <c r="A247" s="49" t="s">
        <v>78</v>
      </c>
      <c r="B247" s="49"/>
      <c r="C247" s="49"/>
      <c r="D247" s="49"/>
      <c r="E247" s="50">
        <f>E243+E244+E245+E246</f>
      </c>
    </row>
    <row r="248" ht="3" customHeight="1" spans="1:6" x14ac:dyDescent="0.25">
      <c r="A248" s="36"/>
      <c r="B248" s="36"/>
      <c r="C248" s="36"/>
      <c r="D248" s="36"/>
      <c r="E248" s="36"/>
      <c r="F248" s="36"/>
    </row>
    <row r="249" ht="22" customHeight="1" spans="1:5" x14ac:dyDescent="0.25">
      <c r="A249" s="51" t="s">
        <v>79</v>
      </c>
      <c r="B249" s="51"/>
      <c r="C249" s="51"/>
      <c r="D249" s="47">
        <f>F216</f>
      </c>
      <c r="E249" s="48">
        <f>E236*F216</f>
      </c>
    </row>
    <row r="250" ht="3" customHeight="1" spans="1:6" x14ac:dyDescent="0.25">
      <c r="A250" s="36"/>
      <c r="B250" s="36"/>
      <c r="C250" s="36"/>
      <c r="D250" s="36"/>
      <c r="E250" s="36"/>
      <c r="F250" s="36"/>
    </row>
    <row r="251" ht="30" customHeight="1" spans="1:6" x14ac:dyDescent="0.25">
      <c r="A251" s="52" t="s">
        <v>80</v>
      </c>
      <c r="B251" s="52"/>
      <c r="C251" s="52"/>
      <c r="D251" s="52"/>
      <c r="E251" s="53">
        <f>E236+E237-E247-E249</f>
      </c>
      <c r="F251" s="54" t="s">
        <v>81</v>
      </c>
    </row>
    <row r="252" ht="18" customHeight="1" spans="1:6" x14ac:dyDescent="0.25">
      <c r="A252" s="55" t="s">
        <v>82</v>
      </c>
      <c r="B252" s="55"/>
      <c r="C252" s="55"/>
      <c r="D252" s="55"/>
      <c r="E252" s="55"/>
      <c r="F252" s="55"/>
    </row>
    <row r="253" ht="18" customHeight="1" spans="1:5" x14ac:dyDescent="0.25">
      <c r="A253" s="56" t="s">
        <v>83</v>
      </c>
      <c r="B253" s="56"/>
      <c r="C253" s="56"/>
      <c r="D253" s="56"/>
      <c r="E253" s="57">
        <f>(C$6/31)*C227</f>
      </c>
    </row>
    <row r="254" ht="18" customHeight="1" spans="1:5" x14ac:dyDescent="0.25">
      <c r="A254" s="56" t="s">
        <v>84</v>
      </c>
      <c r="B254" s="56"/>
      <c r="C254" s="56"/>
      <c r="D254" s="56"/>
      <c r="E254" s="57">
        <f>E225</f>
      </c>
    </row>
    <row r="255" ht="18" customHeight="1" spans="1:5" x14ac:dyDescent="0.25">
      <c r="A255" s="56" t="s">
        <v>85</v>
      </c>
      <c r="B255" s="56"/>
      <c r="C255" s="56"/>
      <c r="D255" s="56"/>
      <c r="E255" s="57">
        <f>E226</f>
      </c>
    </row>
    <row r="256" ht="18" customHeight="1" spans="1:5" x14ac:dyDescent="0.25">
      <c r="A256" s="56" t="s">
        <v>86</v>
      </c>
      <c r="B256" s="56"/>
      <c r="C256" s="56"/>
      <c r="D256" s="56"/>
      <c r="E256" s="57">
        <f>E227</f>
      </c>
    </row>
    <row r="257" ht="22" customHeight="1" spans="1:5" x14ac:dyDescent="0.25">
      <c r="A257" s="58" t="s">
        <v>87</v>
      </c>
      <c r="B257" s="58"/>
      <c r="C257" s="58"/>
      <c r="D257" s="58"/>
      <c r="E257" s="59">
        <f>(C$6/31)*C227+E225+E226+E227</f>
      </c>
    </row>
    <row r="258" ht="22" customHeight="1" spans="1:5" x14ac:dyDescent="0.25">
      <c r="A258" s="60" t="s">
        <v>88</v>
      </c>
      <c r="B258" s="60"/>
      <c r="C258" s="60"/>
      <c r="D258" s="61">
        <f>F216</f>
      </c>
      <c r="E258" s="59">
        <f>E257*F216</f>
      </c>
    </row>
    <row r="259" ht="30" customHeight="1" spans="1:6" x14ac:dyDescent="0.25">
      <c r="A259" s="62" t="s">
        <v>89</v>
      </c>
      <c r="B259" s="62"/>
      <c r="C259" s="62"/>
      <c r="D259" s="62"/>
      <c r="E259" s="62"/>
      <c r="F259" s="62"/>
    </row>
    <row r="260" ht="10" customHeight="1" spans="1:6" x14ac:dyDescent="0.25">
      <c r="A260" s="3"/>
      <c r="B260" s="3"/>
      <c r="C260" s="3"/>
      <c r="D260" s="3"/>
      <c r="E260" s="3"/>
      <c r="F260" s="3"/>
    </row>
    <row r="261" ht="26" customHeight="1" spans="1:6" x14ac:dyDescent="0.25">
      <c r="A261" s="21" t="s">
        <v>96</v>
      </c>
      <c r="B261" s="21"/>
      <c r="C261" s="21"/>
      <c r="D261" s="21"/>
      <c r="E261" s="22" t="s">
        <v>94</v>
      </c>
      <c r="F261" s="17">
        <f>$C$20</f>
      </c>
    </row>
    <row r="262" ht="16" customHeight="1" spans="1:6" x14ac:dyDescent="0.25">
      <c r="A262" s="23" t="s">
        <v>3</v>
      </c>
      <c r="B262" s="24" t="s">
        <v>49</v>
      </c>
      <c r="C262" s="25" t="s">
        <v>50</v>
      </c>
      <c r="D262" s="25" t="s">
        <v>51</v>
      </c>
      <c r="E262" s="25" t="s">
        <v>52</v>
      </c>
      <c r="F262" s="25" t="s">
        <v>53</v>
      </c>
    </row>
    <row r="263" ht="18" customHeight="1" spans="2:6" x14ac:dyDescent="0.25">
      <c r="B263" s="9" t="s">
        <v>54</v>
      </c>
      <c r="E263" s="26">
        <f>C$6</f>
      </c>
      <c r="F263" s="27" t="s">
        <v>55</v>
      </c>
    </row>
    <row r="264" ht="18" customHeight="1" spans="2:6" x14ac:dyDescent="0.25">
      <c r="B264" s="12" t="s">
        <v>56</v>
      </c>
      <c r="C264" s="7">
        <f>C$11</f>
      </c>
      <c r="D264" s="28" t="s">
        <v>57</v>
      </c>
      <c r="E264" s="26">
        <f>C264</f>
      </c>
      <c r="F264" s="27" t="s">
        <v>55</v>
      </c>
    </row>
    <row r="265" ht="18" customHeight="1" spans="2:6" x14ac:dyDescent="0.25">
      <c r="B265" s="12" t="s">
        <v>32</v>
      </c>
      <c r="C265" s="29">
        <v>0</v>
      </c>
      <c r="D265" s="30">
        <f>C$24</f>
      </c>
      <c r="E265" s="26">
        <f>C265*D265</f>
      </c>
      <c r="F265" s="27" t="s">
        <v>55</v>
      </c>
    </row>
    <row r="266" ht="18" customHeight="1" spans="2:6" x14ac:dyDescent="0.25">
      <c r="B266" s="12" t="s">
        <v>34</v>
      </c>
      <c r="C266" s="29">
        <v>0</v>
      </c>
      <c r="D266" s="30">
        <f>C$25</f>
      </c>
      <c r="E266" s="26">
        <f>C266*D266</f>
      </c>
      <c r="F266" s="27" t="s">
        <v>55</v>
      </c>
    </row>
    <row r="267" ht="18" customHeight="1" spans="2:6" x14ac:dyDescent="0.25">
      <c r="B267" s="12" t="s">
        <v>35</v>
      </c>
      <c r="C267" s="29">
        <v>0</v>
      </c>
      <c r="D267" s="30">
        <f>C$26</f>
      </c>
      <c r="E267" s="26">
        <f>C267*D267</f>
      </c>
      <c r="F267" s="27" t="s">
        <v>55</v>
      </c>
    </row>
    <row r="268" ht="18" customHeight="1" spans="2:6" x14ac:dyDescent="0.25">
      <c r="B268" s="12" t="s">
        <v>36</v>
      </c>
      <c r="C268" s="29">
        <v>0</v>
      </c>
      <c r="D268" s="30">
        <f>C$27</f>
      </c>
      <c r="E268" s="26">
        <f>C268*D268</f>
      </c>
      <c r="F268" s="27" t="s">
        <v>55</v>
      </c>
    </row>
    <row r="269" ht="18" customHeight="1" spans="2:6" x14ac:dyDescent="0.25">
      <c r="B269" s="12" t="s">
        <v>37</v>
      </c>
      <c r="C269" s="29">
        <v>0</v>
      </c>
      <c r="D269" s="30">
        <f>C$28</f>
      </c>
      <c r="E269" s="26">
        <f>C269*D269</f>
      </c>
      <c r="F269" s="27" t="s">
        <v>55</v>
      </c>
    </row>
    <row r="270" ht="18" customHeight="1" spans="2:6" x14ac:dyDescent="0.25">
      <c r="B270" s="12" t="s">
        <v>38</v>
      </c>
      <c r="C270" s="29">
        <v>0</v>
      </c>
      <c r="D270" s="30">
        <f>C$29</f>
      </c>
      <c r="E270" s="26">
        <f>C270*D270</f>
      </c>
      <c r="F270" s="31" t="s">
        <v>58</v>
      </c>
    </row>
    <row r="271" ht="18" customHeight="1" spans="2:6" x14ac:dyDescent="0.25">
      <c r="B271" s="12" t="s">
        <v>40</v>
      </c>
      <c r="C271" s="29">
        <v>0</v>
      </c>
      <c r="D271" s="30">
        <f>C$30</f>
      </c>
      <c r="E271" s="26">
        <f>C271*D271</f>
      </c>
      <c r="F271" s="31" t="s">
        <v>58</v>
      </c>
    </row>
    <row r="272" ht="18" customHeight="1" spans="2:6" x14ac:dyDescent="0.25">
      <c r="B272" s="12" t="s">
        <v>59</v>
      </c>
      <c r="C272" s="29">
        <v>0</v>
      </c>
      <c r="D272" s="30">
        <f>C$33</f>
      </c>
      <c r="E272" s="26">
        <f>C272*D272</f>
      </c>
      <c r="F272" s="31" t="s">
        <v>58</v>
      </c>
    </row>
    <row r="273" ht="16" customHeight="1" spans="1:6" x14ac:dyDescent="0.25">
      <c r="A273" s="32" t="s">
        <v>60</v>
      </c>
      <c r="B273" s="32"/>
      <c r="C273" s="32"/>
      <c r="D273" s="32"/>
      <c r="E273" s="32"/>
      <c r="F273" s="32"/>
    </row>
    <row r="274" ht="18" customHeight="1" spans="2:6" x14ac:dyDescent="0.25">
      <c r="B274" s="12" t="s">
        <v>41</v>
      </c>
      <c r="C274" s="29">
        <v>0</v>
      </c>
      <c r="D274" s="30">
        <f>C$31</f>
      </c>
      <c r="E274" s="26">
        <f>C274*D274</f>
      </c>
      <c r="F274" s="27" t="s">
        <v>61</v>
      </c>
    </row>
    <row r="275" ht="18" customHeight="1" spans="2:6" x14ac:dyDescent="0.25">
      <c r="B275" s="12" t="s">
        <v>43</v>
      </c>
      <c r="C275" s="29">
        <v>0</v>
      </c>
      <c r="D275" s="30">
        <f>C$32</f>
      </c>
      <c r="E275" s="26">
        <f>C275*D275</f>
      </c>
      <c r="F275" s="27" t="s">
        <v>61</v>
      </c>
    </row>
    <row r="276" ht="16" customHeight="1" spans="1:6" x14ac:dyDescent="0.25">
      <c r="A276" s="33" t="s">
        <v>62</v>
      </c>
      <c r="B276" s="33"/>
      <c r="C276" s="33"/>
      <c r="D276" s="33"/>
      <c r="E276" s="33"/>
      <c r="F276" s="33"/>
    </row>
    <row r="277" ht="18" customHeight="1" spans="2:6" x14ac:dyDescent="0.25">
      <c r="B277" s="12" t="s">
        <v>63</v>
      </c>
      <c r="C277" s="7">
        <v>0</v>
      </c>
      <c r="D277" s="28" t="s">
        <v>57</v>
      </c>
      <c r="E277" s="34">
        <f>C277</f>
      </c>
      <c r="F277" s="35" t="s">
        <v>64</v>
      </c>
    </row>
    <row r="278" ht="18" customHeight="1" spans="2:6" x14ac:dyDescent="0.25">
      <c r="B278" s="12" t="s">
        <v>65</v>
      </c>
      <c r="C278" s="7">
        <v>0</v>
      </c>
      <c r="D278" s="28" t="s">
        <v>57</v>
      </c>
      <c r="E278" s="34">
        <f>C278</f>
      </c>
      <c r="F278" s="35" t="s">
        <v>64</v>
      </c>
    </row>
    <row r="279" ht="18" customHeight="1" spans="2:6" x14ac:dyDescent="0.25">
      <c r="B279" s="12" t="s">
        <v>66</v>
      </c>
      <c r="C279" s="29">
        <v>0</v>
      </c>
      <c r="D279" s="30">
        <f>C$34</f>
      </c>
      <c r="E279" s="34">
        <f>C279*D279</f>
      </c>
      <c r="F279" s="35" t="s">
        <v>64</v>
      </c>
    </row>
    <row r="280" ht="3" customHeight="1" spans="1:6" x14ac:dyDescent="0.25">
      <c r="A280" s="36"/>
      <c r="B280" s="36"/>
      <c r="C280" s="36"/>
      <c r="D280" s="36"/>
      <c r="E280" s="36"/>
      <c r="F280" s="36"/>
    </row>
    <row r="281" ht="20" customHeight="1" spans="1:5" x14ac:dyDescent="0.25">
      <c r="A281" s="37" t="s">
        <v>67</v>
      </c>
      <c r="B281" s="37"/>
      <c r="C281" s="37"/>
      <c r="D281" s="37"/>
      <c r="E281" s="38">
        <f>E263+E264+E265+E266+E267+E268+E269+E270+E271+E272+E274+E275</f>
      </c>
    </row>
    <row r="282" ht="20" customHeight="1" spans="1:5" x14ac:dyDescent="0.25">
      <c r="A282" s="39" t="s">
        <v>68</v>
      </c>
      <c r="B282" s="39"/>
      <c r="C282" s="39"/>
      <c r="D282" s="39"/>
      <c r="E282" s="34">
        <f>E277+E278+E279</f>
      </c>
    </row>
    <row r="283" ht="20" customHeight="1" spans="1:5" x14ac:dyDescent="0.25">
      <c r="A283" s="40" t="s">
        <v>69</v>
      </c>
      <c r="B283" s="40"/>
      <c r="C283" s="40"/>
      <c r="D283" s="40"/>
      <c r="E283" s="41">
        <f>E274+E275</f>
      </c>
    </row>
    <row r="284" ht="3" customHeight="1" spans="1:6" x14ac:dyDescent="0.25">
      <c r="A284" s="36"/>
      <c r="B284" s="36"/>
      <c r="C284" s="36"/>
      <c r="D284" s="36"/>
      <c r="E284" s="36"/>
      <c r="F284" s="36"/>
    </row>
    <row r="285" ht="16" customHeight="1" spans="1:6" x14ac:dyDescent="0.25">
      <c r="A285" s="42" t="s">
        <v>70</v>
      </c>
      <c r="B285" s="42"/>
      <c r="C285" s="42"/>
      <c r="D285" s="42"/>
      <c r="E285" s="42"/>
      <c r="F285" s="42"/>
    </row>
    <row r="286" ht="20" customHeight="1" spans="1:6" x14ac:dyDescent="0.25">
      <c r="A286" s="43" t="s">
        <v>71</v>
      </c>
      <c r="B286" s="43"/>
      <c r="C286" s="43"/>
      <c r="D286" s="43"/>
      <c r="E286" s="44">
        <f>E263+E264+E265+E266+E267+E268+E269+E270+E271+E272+C$10</f>
      </c>
      <c r="F286" s="45" t="s">
        <v>33</v>
      </c>
    </row>
    <row r="287" ht="20" customHeight="1" spans="1:6" x14ac:dyDescent="0.25">
      <c r="A287" s="43" t="s">
        <v>72</v>
      </c>
      <c r="B287" s="43"/>
      <c r="C287" s="43"/>
      <c r="D287" s="43"/>
      <c r="E287" s="44">
        <f>E286+E283</f>
      </c>
      <c r="F287" s="45" t="s">
        <v>73</v>
      </c>
    </row>
    <row r="288" ht="20" customHeight="1" spans="1:5" x14ac:dyDescent="0.25">
      <c r="A288" s="46" t="s">
        <v>74</v>
      </c>
      <c r="B288" s="46"/>
      <c r="C288" s="46"/>
      <c r="D288" s="47">
        <f>C$15</f>
      </c>
      <c r="E288" s="48">
        <f>E286*C$15</f>
      </c>
    </row>
    <row r="289" ht="20" customHeight="1" spans="1:5" x14ac:dyDescent="0.25">
      <c r="A289" s="46" t="s">
        <v>75</v>
      </c>
      <c r="B289" s="46"/>
      <c r="C289" s="46"/>
      <c r="D289" s="47">
        <f>C$16</f>
      </c>
      <c r="E289" s="48">
        <f>E287*C$16</f>
      </c>
    </row>
    <row r="290" ht="20" customHeight="1" spans="1:5" x14ac:dyDescent="0.25">
      <c r="A290" s="46" t="s">
        <v>76</v>
      </c>
      <c r="B290" s="46"/>
      <c r="C290" s="46"/>
      <c r="D290" s="47">
        <f>C$17</f>
      </c>
      <c r="E290" s="48">
        <f>E283*C$17</f>
      </c>
    </row>
    <row r="291" ht="20" customHeight="1" spans="1:5" x14ac:dyDescent="0.25">
      <c r="A291" s="46" t="s">
        <v>77</v>
      </c>
      <c r="B291" s="46"/>
      <c r="C291" s="46"/>
      <c r="D291" s="47">
        <f>C$18</f>
      </c>
      <c r="E291" s="48">
        <f>E287*C$18</f>
      </c>
    </row>
    <row r="292" ht="20" customHeight="1" spans="1:5" x14ac:dyDescent="0.25">
      <c r="A292" s="49" t="s">
        <v>78</v>
      </c>
      <c r="B292" s="49"/>
      <c r="C292" s="49"/>
      <c r="D292" s="49"/>
      <c r="E292" s="50">
        <f>E288+E289+E290+E291</f>
      </c>
    </row>
    <row r="293" ht="3" customHeight="1" spans="1:6" x14ac:dyDescent="0.25">
      <c r="A293" s="36"/>
      <c r="B293" s="36"/>
      <c r="C293" s="36"/>
      <c r="D293" s="36"/>
      <c r="E293" s="36"/>
      <c r="F293" s="36"/>
    </row>
    <row r="294" ht="22" customHeight="1" spans="1:5" x14ac:dyDescent="0.25">
      <c r="A294" s="51" t="s">
        <v>79</v>
      </c>
      <c r="B294" s="51"/>
      <c r="C294" s="51"/>
      <c r="D294" s="47">
        <f>F261</f>
      </c>
      <c r="E294" s="48">
        <f>E281*F261</f>
      </c>
    </row>
    <row r="295" ht="3" customHeight="1" spans="1:6" x14ac:dyDescent="0.25">
      <c r="A295" s="36"/>
      <c r="B295" s="36"/>
      <c r="C295" s="36"/>
      <c r="D295" s="36"/>
      <c r="E295" s="36"/>
      <c r="F295" s="36"/>
    </row>
    <row r="296" ht="30" customHeight="1" spans="1:6" x14ac:dyDescent="0.25">
      <c r="A296" s="52" t="s">
        <v>80</v>
      </c>
      <c r="B296" s="52"/>
      <c r="C296" s="52"/>
      <c r="D296" s="52"/>
      <c r="E296" s="53">
        <f>E281+E282-E292-E294</f>
      </c>
      <c r="F296" s="54" t="s">
        <v>81</v>
      </c>
    </row>
    <row r="297" ht="18" customHeight="1" spans="1:6" x14ac:dyDescent="0.25">
      <c r="A297" s="55" t="s">
        <v>82</v>
      </c>
      <c r="B297" s="55"/>
      <c r="C297" s="55"/>
      <c r="D297" s="55"/>
      <c r="E297" s="55"/>
      <c r="F297" s="55"/>
    </row>
    <row r="298" ht="18" customHeight="1" spans="1:5" x14ac:dyDescent="0.25">
      <c r="A298" s="56" t="s">
        <v>83</v>
      </c>
      <c r="B298" s="56"/>
      <c r="C298" s="56"/>
      <c r="D298" s="56"/>
      <c r="E298" s="57">
        <f>(C$6/30)*C272</f>
      </c>
    </row>
    <row r="299" ht="18" customHeight="1" spans="1:5" x14ac:dyDescent="0.25">
      <c r="A299" s="56" t="s">
        <v>84</v>
      </c>
      <c r="B299" s="56"/>
      <c r="C299" s="56"/>
      <c r="D299" s="56"/>
      <c r="E299" s="57">
        <f>E270</f>
      </c>
    </row>
    <row r="300" ht="18" customHeight="1" spans="1:5" x14ac:dyDescent="0.25">
      <c r="A300" s="56" t="s">
        <v>85</v>
      </c>
      <c r="B300" s="56"/>
      <c r="C300" s="56"/>
      <c r="D300" s="56"/>
      <c r="E300" s="57">
        <f>E271</f>
      </c>
    </row>
    <row r="301" ht="18" customHeight="1" spans="1:5" x14ac:dyDescent="0.25">
      <c r="A301" s="56" t="s">
        <v>86</v>
      </c>
      <c r="B301" s="56"/>
      <c r="C301" s="56"/>
      <c r="D301" s="56"/>
      <c r="E301" s="57">
        <f>E272</f>
      </c>
    </row>
    <row r="302" ht="22" customHeight="1" spans="1:5" x14ac:dyDescent="0.25">
      <c r="A302" s="58" t="s">
        <v>87</v>
      </c>
      <c r="B302" s="58"/>
      <c r="C302" s="58"/>
      <c r="D302" s="58"/>
      <c r="E302" s="59">
        <f>(C$6/30)*C272+E270+E271+E272</f>
      </c>
    </row>
    <row r="303" ht="22" customHeight="1" spans="1:5" x14ac:dyDescent="0.25">
      <c r="A303" s="60" t="s">
        <v>88</v>
      </c>
      <c r="B303" s="60"/>
      <c r="C303" s="60"/>
      <c r="D303" s="61">
        <f>F261</f>
      </c>
      <c r="E303" s="59">
        <f>E302*F261</f>
      </c>
    </row>
    <row r="304" ht="30" customHeight="1" spans="1:6" x14ac:dyDescent="0.25">
      <c r="A304" s="62" t="s">
        <v>89</v>
      </c>
      <c r="B304" s="62"/>
      <c r="C304" s="62"/>
      <c r="D304" s="62"/>
      <c r="E304" s="62"/>
      <c r="F304" s="62"/>
    </row>
    <row r="305" ht="10" customHeight="1" spans="1:6" x14ac:dyDescent="0.25">
      <c r="A305" s="3"/>
      <c r="B305" s="3"/>
      <c r="C305" s="3"/>
      <c r="D305" s="3"/>
      <c r="E305" s="3"/>
      <c r="F305" s="3"/>
    </row>
    <row r="306" ht="26" customHeight="1" spans="1:6" x14ac:dyDescent="0.25">
      <c r="A306" s="21" t="s">
        <v>97</v>
      </c>
      <c r="B306" s="21"/>
      <c r="C306" s="21"/>
      <c r="D306" s="21"/>
      <c r="E306" s="22" t="s">
        <v>48</v>
      </c>
      <c r="F306" s="17">
        <f>$C$20</f>
      </c>
    </row>
    <row r="307" ht="16" customHeight="1" spans="1:6" x14ac:dyDescent="0.25">
      <c r="A307" s="23" t="s">
        <v>3</v>
      </c>
      <c r="B307" s="24" t="s">
        <v>49</v>
      </c>
      <c r="C307" s="25" t="s">
        <v>50</v>
      </c>
      <c r="D307" s="25" t="s">
        <v>51</v>
      </c>
      <c r="E307" s="25" t="s">
        <v>52</v>
      </c>
      <c r="F307" s="25" t="s">
        <v>53</v>
      </c>
    </row>
    <row r="308" ht="18" customHeight="1" spans="2:6" x14ac:dyDescent="0.25">
      <c r="B308" s="9" t="s">
        <v>54</v>
      </c>
      <c r="E308" s="26">
        <f>C$6</f>
      </c>
      <c r="F308" s="27" t="s">
        <v>55</v>
      </c>
    </row>
    <row r="309" ht="18" customHeight="1" spans="2:6" x14ac:dyDescent="0.25">
      <c r="B309" s="12" t="s">
        <v>56</v>
      </c>
      <c r="C309" s="7">
        <f>C$11</f>
      </c>
      <c r="D309" s="28" t="s">
        <v>57</v>
      </c>
      <c r="E309" s="26">
        <f>C309</f>
      </c>
      <c r="F309" s="27" t="s">
        <v>55</v>
      </c>
    </row>
    <row r="310" ht="18" customHeight="1" spans="2:6" x14ac:dyDescent="0.25">
      <c r="B310" s="12" t="s">
        <v>32</v>
      </c>
      <c r="C310" s="29">
        <v>0</v>
      </c>
      <c r="D310" s="30">
        <f>C$24</f>
      </c>
      <c r="E310" s="26">
        <f>C310*D310</f>
      </c>
      <c r="F310" s="27" t="s">
        <v>55</v>
      </c>
    </row>
    <row r="311" ht="18" customHeight="1" spans="2:6" x14ac:dyDescent="0.25">
      <c r="B311" s="12" t="s">
        <v>34</v>
      </c>
      <c r="C311" s="29">
        <v>0</v>
      </c>
      <c r="D311" s="30">
        <f>C$25</f>
      </c>
      <c r="E311" s="26">
        <f>C311*D311</f>
      </c>
      <c r="F311" s="27" t="s">
        <v>55</v>
      </c>
    </row>
    <row r="312" ht="18" customHeight="1" spans="2:6" x14ac:dyDescent="0.25">
      <c r="B312" s="12" t="s">
        <v>35</v>
      </c>
      <c r="C312" s="29">
        <v>0</v>
      </c>
      <c r="D312" s="30">
        <f>C$26</f>
      </c>
      <c r="E312" s="26">
        <f>C312*D312</f>
      </c>
      <c r="F312" s="27" t="s">
        <v>55</v>
      </c>
    </row>
    <row r="313" ht="18" customHeight="1" spans="2:6" x14ac:dyDescent="0.25">
      <c r="B313" s="12" t="s">
        <v>36</v>
      </c>
      <c r="C313" s="29">
        <v>0</v>
      </c>
      <c r="D313" s="30">
        <f>C$27</f>
      </c>
      <c r="E313" s="26">
        <f>C313*D313</f>
      </c>
      <c r="F313" s="27" t="s">
        <v>55</v>
      </c>
    </row>
    <row r="314" ht="18" customHeight="1" spans="2:6" x14ac:dyDescent="0.25">
      <c r="B314" s="12" t="s">
        <v>37</v>
      </c>
      <c r="C314" s="29">
        <v>0</v>
      </c>
      <c r="D314" s="30">
        <f>C$28</f>
      </c>
      <c r="E314" s="26">
        <f>C314*D314</f>
      </c>
      <c r="F314" s="27" t="s">
        <v>55</v>
      </c>
    </row>
    <row r="315" ht="18" customHeight="1" spans="2:6" x14ac:dyDescent="0.25">
      <c r="B315" s="12" t="s">
        <v>38</v>
      </c>
      <c r="C315" s="29">
        <v>0</v>
      </c>
      <c r="D315" s="30">
        <f>C$29</f>
      </c>
      <c r="E315" s="26">
        <f>C315*D315</f>
      </c>
      <c r="F315" s="31" t="s">
        <v>58</v>
      </c>
    </row>
    <row r="316" ht="18" customHeight="1" spans="2:6" x14ac:dyDescent="0.25">
      <c r="B316" s="12" t="s">
        <v>40</v>
      </c>
      <c r="C316" s="29">
        <v>0</v>
      </c>
      <c r="D316" s="30">
        <f>C$30</f>
      </c>
      <c r="E316" s="26">
        <f>C316*D316</f>
      </c>
      <c r="F316" s="31" t="s">
        <v>58</v>
      </c>
    </row>
    <row r="317" ht="18" customHeight="1" spans="2:6" x14ac:dyDescent="0.25">
      <c r="B317" s="12" t="s">
        <v>59</v>
      </c>
      <c r="C317" s="29">
        <v>0</v>
      </c>
      <c r="D317" s="30">
        <f>C$33</f>
      </c>
      <c r="E317" s="26">
        <f>C317*D317</f>
      </c>
      <c r="F317" s="31" t="s">
        <v>58</v>
      </c>
    </row>
    <row r="318" ht="16" customHeight="1" spans="1:6" x14ac:dyDescent="0.25">
      <c r="A318" s="32" t="s">
        <v>60</v>
      </c>
      <c r="B318" s="32"/>
      <c r="C318" s="32"/>
      <c r="D318" s="32"/>
      <c r="E318" s="32"/>
      <c r="F318" s="32"/>
    </row>
    <row r="319" ht="18" customHeight="1" spans="2:6" x14ac:dyDescent="0.25">
      <c r="B319" s="12" t="s">
        <v>41</v>
      </c>
      <c r="C319" s="29">
        <v>0</v>
      </c>
      <c r="D319" s="30">
        <f>C$31</f>
      </c>
      <c r="E319" s="26">
        <f>C319*D319</f>
      </c>
      <c r="F319" s="27" t="s">
        <v>61</v>
      </c>
    </row>
    <row r="320" ht="18" customHeight="1" spans="2:6" x14ac:dyDescent="0.25">
      <c r="B320" s="12" t="s">
        <v>43</v>
      </c>
      <c r="C320" s="29">
        <v>0</v>
      </c>
      <c r="D320" s="30">
        <f>C$32</f>
      </c>
      <c r="E320" s="26">
        <f>C320*D320</f>
      </c>
      <c r="F320" s="27" t="s">
        <v>61</v>
      </c>
    </row>
    <row r="321" ht="16" customHeight="1" spans="1:6" x14ac:dyDescent="0.25">
      <c r="A321" s="33" t="s">
        <v>62</v>
      </c>
      <c r="B321" s="33"/>
      <c r="C321" s="33"/>
      <c r="D321" s="33"/>
      <c r="E321" s="33"/>
      <c r="F321" s="33"/>
    </row>
    <row r="322" ht="18" customHeight="1" spans="2:6" x14ac:dyDescent="0.25">
      <c r="B322" s="12" t="s">
        <v>63</v>
      </c>
      <c r="C322" s="7">
        <v>0</v>
      </c>
      <c r="D322" s="28" t="s">
        <v>57</v>
      </c>
      <c r="E322" s="34">
        <f>C322</f>
      </c>
      <c r="F322" s="35" t="s">
        <v>64</v>
      </c>
    </row>
    <row r="323" ht="18" customHeight="1" spans="2:6" x14ac:dyDescent="0.25">
      <c r="B323" s="12" t="s">
        <v>65</v>
      </c>
      <c r="C323" s="7">
        <v>0</v>
      </c>
      <c r="D323" s="28" t="s">
        <v>57</v>
      </c>
      <c r="E323" s="34">
        <f>C323</f>
      </c>
      <c r="F323" s="35" t="s">
        <v>64</v>
      </c>
    </row>
    <row r="324" ht="18" customHeight="1" spans="2:6" x14ac:dyDescent="0.25">
      <c r="B324" s="12" t="s">
        <v>66</v>
      </c>
      <c r="C324" s="29">
        <v>0</v>
      </c>
      <c r="D324" s="30">
        <f>C$34</f>
      </c>
      <c r="E324" s="34">
        <f>C324*D324</f>
      </c>
      <c r="F324" s="35" t="s">
        <v>64</v>
      </c>
    </row>
    <row r="325" ht="3" customHeight="1" spans="1:6" x14ac:dyDescent="0.25">
      <c r="A325" s="36"/>
      <c r="B325" s="36"/>
      <c r="C325" s="36"/>
      <c r="D325" s="36"/>
      <c r="E325" s="36"/>
      <c r="F325" s="36"/>
    </row>
    <row r="326" ht="20" customHeight="1" spans="1:5" x14ac:dyDescent="0.25">
      <c r="A326" s="37" t="s">
        <v>67</v>
      </c>
      <c r="B326" s="37"/>
      <c r="C326" s="37"/>
      <c r="D326" s="37"/>
      <c r="E326" s="38">
        <f>E308+E309+E310+E311+E312+E313+E314+E315+E316+E317+E319+E320</f>
      </c>
    </row>
    <row r="327" ht="20" customHeight="1" spans="1:5" x14ac:dyDescent="0.25">
      <c r="A327" s="39" t="s">
        <v>68</v>
      </c>
      <c r="B327" s="39"/>
      <c r="C327" s="39"/>
      <c r="D327" s="39"/>
      <c r="E327" s="34">
        <f>E322+E323+E324</f>
      </c>
    </row>
    <row r="328" ht="20" customHeight="1" spans="1:5" x14ac:dyDescent="0.25">
      <c r="A328" s="40" t="s">
        <v>69</v>
      </c>
      <c r="B328" s="40"/>
      <c r="C328" s="40"/>
      <c r="D328" s="40"/>
      <c r="E328" s="41">
        <f>E319+E320</f>
      </c>
    </row>
    <row r="329" ht="3" customHeight="1" spans="1:6" x14ac:dyDescent="0.25">
      <c r="A329" s="36"/>
      <c r="B329" s="36"/>
      <c r="C329" s="36"/>
      <c r="D329" s="36"/>
      <c r="E329" s="36"/>
      <c r="F329" s="36"/>
    </row>
    <row r="330" ht="16" customHeight="1" spans="1:6" x14ac:dyDescent="0.25">
      <c r="A330" s="42" t="s">
        <v>70</v>
      </c>
      <c r="B330" s="42"/>
      <c r="C330" s="42"/>
      <c r="D330" s="42"/>
      <c r="E330" s="42"/>
      <c r="F330" s="42"/>
    </row>
    <row r="331" ht="20" customHeight="1" spans="1:6" x14ac:dyDescent="0.25">
      <c r="A331" s="43" t="s">
        <v>71</v>
      </c>
      <c r="B331" s="43"/>
      <c r="C331" s="43"/>
      <c r="D331" s="43"/>
      <c r="E331" s="44">
        <f>E308+E309+E310+E311+E312+E313+E314+E315+E316+E317+C$10</f>
      </c>
      <c r="F331" s="45" t="s">
        <v>33</v>
      </c>
    </row>
    <row r="332" ht="20" customHeight="1" spans="1:6" x14ac:dyDescent="0.25">
      <c r="A332" s="43" t="s">
        <v>72</v>
      </c>
      <c r="B332" s="43"/>
      <c r="C332" s="43"/>
      <c r="D332" s="43"/>
      <c r="E332" s="44">
        <f>E331+E328</f>
      </c>
      <c r="F332" s="45" t="s">
        <v>73</v>
      </c>
    </row>
    <row r="333" ht="20" customHeight="1" spans="1:5" x14ac:dyDescent="0.25">
      <c r="A333" s="46" t="s">
        <v>74</v>
      </c>
      <c r="B333" s="46"/>
      <c r="C333" s="46"/>
      <c r="D333" s="47">
        <f>C$15</f>
      </c>
      <c r="E333" s="48">
        <f>E331*C$15</f>
      </c>
    </row>
    <row r="334" ht="20" customHeight="1" spans="1:5" x14ac:dyDescent="0.25">
      <c r="A334" s="46" t="s">
        <v>75</v>
      </c>
      <c r="B334" s="46"/>
      <c r="C334" s="46"/>
      <c r="D334" s="47">
        <f>C$16</f>
      </c>
      <c r="E334" s="48">
        <f>E332*C$16</f>
      </c>
    </row>
    <row r="335" ht="20" customHeight="1" spans="1:5" x14ac:dyDescent="0.25">
      <c r="A335" s="46" t="s">
        <v>76</v>
      </c>
      <c r="B335" s="46"/>
      <c r="C335" s="46"/>
      <c r="D335" s="47">
        <f>C$17</f>
      </c>
      <c r="E335" s="48">
        <f>E328*C$17</f>
      </c>
    </row>
    <row r="336" ht="20" customHeight="1" spans="1:5" x14ac:dyDescent="0.25">
      <c r="A336" s="46" t="s">
        <v>77</v>
      </c>
      <c r="B336" s="46"/>
      <c r="C336" s="46"/>
      <c r="D336" s="47">
        <f>C$18</f>
      </c>
      <c r="E336" s="48">
        <f>E332*C$18</f>
      </c>
    </row>
    <row r="337" ht="20" customHeight="1" spans="1:5" x14ac:dyDescent="0.25">
      <c r="A337" s="49" t="s">
        <v>78</v>
      </c>
      <c r="B337" s="49"/>
      <c r="C337" s="49"/>
      <c r="D337" s="49"/>
      <c r="E337" s="50">
        <f>E333+E334+E335+E336</f>
      </c>
    </row>
    <row r="338" ht="3" customHeight="1" spans="1:6" x14ac:dyDescent="0.25">
      <c r="A338" s="36"/>
      <c r="B338" s="36"/>
      <c r="C338" s="36"/>
      <c r="D338" s="36"/>
      <c r="E338" s="36"/>
      <c r="F338" s="36"/>
    </row>
    <row r="339" ht="22" customHeight="1" spans="1:5" x14ac:dyDescent="0.25">
      <c r="A339" s="51" t="s">
        <v>79</v>
      </c>
      <c r="B339" s="51"/>
      <c r="C339" s="51"/>
      <c r="D339" s="47">
        <f>F306</f>
      </c>
      <c r="E339" s="48">
        <f>E326*F306</f>
      </c>
    </row>
    <row r="340" ht="3" customHeight="1" spans="1:6" x14ac:dyDescent="0.25">
      <c r="A340" s="36"/>
      <c r="B340" s="36"/>
      <c r="C340" s="36"/>
      <c r="D340" s="36"/>
      <c r="E340" s="36"/>
      <c r="F340" s="36"/>
    </row>
    <row r="341" ht="30" customHeight="1" spans="1:6" x14ac:dyDescent="0.25">
      <c r="A341" s="52" t="s">
        <v>80</v>
      </c>
      <c r="B341" s="52"/>
      <c r="C341" s="52"/>
      <c r="D341" s="52"/>
      <c r="E341" s="53">
        <f>E326+E327-E337-E339</f>
      </c>
      <c r="F341" s="54" t="s">
        <v>81</v>
      </c>
    </row>
    <row r="342" ht="18" customHeight="1" spans="1:6" x14ac:dyDescent="0.25">
      <c r="A342" s="55" t="s">
        <v>82</v>
      </c>
      <c r="B342" s="55"/>
      <c r="C342" s="55"/>
      <c r="D342" s="55"/>
      <c r="E342" s="55"/>
      <c r="F342" s="55"/>
    </row>
    <row r="343" ht="18" customHeight="1" spans="1:5" x14ac:dyDescent="0.25">
      <c r="A343" s="56" t="s">
        <v>83</v>
      </c>
      <c r="B343" s="56"/>
      <c r="C343" s="56"/>
      <c r="D343" s="56"/>
      <c r="E343" s="57">
        <f>(C$6/31)*C317</f>
      </c>
    </row>
    <row r="344" ht="18" customHeight="1" spans="1:5" x14ac:dyDescent="0.25">
      <c r="A344" s="56" t="s">
        <v>84</v>
      </c>
      <c r="B344" s="56"/>
      <c r="C344" s="56"/>
      <c r="D344" s="56"/>
      <c r="E344" s="57">
        <f>E315</f>
      </c>
    </row>
    <row r="345" ht="18" customHeight="1" spans="1:5" x14ac:dyDescent="0.25">
      <c r="A345" s="56" t="s">
        <v>85</v>
      </c>
      <c r="B345" s="56"/>
      <c r="C345" s="56"/>
      <c r="D345" s="56"/>
      <c r="E345" s="57">
        <f>E316</f>
      </c>
    </row>
    <row r="346" ht="18" customHeight="1" spans="1:5" x14ac:dyDescent="0.25">
      <c r="A346" s="56" t="s">
        <v>86</v>
      </c>
      <c r="B346" s="56"/>
      <c r="C346" s="56"/>
      <c r="D346" s="56"/>
      <c r="E346" s="57">
        <f>E317</f>
      </c>
    </row>
    <row r="347" ht="22" customHeight="1" spans="1:5" x14ac:dyDescent="0.25">
      <c r="A347" s="58" t="s">
        <v>87</v>
      </c>
      <c r="B347" s="58"/>
      <c r="C347" s="58"/>
      <c r="D347" s="58"/>
      <c r="E347" s="59">
        <f>(C$6/31)*C317+E315+E316+E317</f>
      </c>
    </row>
    <row r="348" ht="22" customHeight="1" spans="1:5" x14ac:dyDescent="0.25">
      <c r="A348" s="60" t="s">
        <v>88</v>
      </c>
      <c r="B348" s="60"/>
      <c r="C348" s="60"/>
      <c r="D348" s="61">
        <f>F306</f>
      </c>
      <c r="E348" s="59">
        <f>E347*F306</f>
      </c>
    </row>
    <row r="349" ht="30" customHeight="1" spans="1:6" x14ac:dyDescent="0.25">
      <c r="A349" s="62" t="s">
        <v>89</v>
      </c>
      <c r="B349" s="62"/>
      <c r="C349" s="62"/>
      <c r="D349" s="62"/>
      <c r="E349" s="62"/>
      <c r="F349" s="62"/>
    </row>
    <row r="350" ht="10" customHeight="1" spans="1:6" x14ac:dyDescent="0.25">
      <c r="A350" s="3"/>
      <c r="B350" s="3"/>
      <c r="C350" s="3"/>
      <c r="D350" s="3"/>
      <c r="E350" s="3"/>
      <c r="F350" s="3"/>
    </row>
    <row r="351" ht="26" customHeight="1" spans="1:6" x14ac:dyDescent="0.25">
      <c r="A351" s="21" t="s">
        <v>98</v>
      </c>
      <c r="B351" s="21"/>
      <c r="C351" s="21"/>
      <c r="D351" s="21"/>
      <c r="E351" s="22" t="s">
        <v>48</v>
      </c>
      <c r="F351" s="17">
        <f>$C$20</f>
      </c>
    </row>
    <row r="352" ht="16" customHeight="1" spans="1:6" x14ac:dyDescent="0.25">
      <c r="A352" s="23" t="s">
        <v>3</v>
      </c>
      <c r="B352" s="24" t="s">
        <v>49</v>
      </c>
      <c r="C352" s="25" t="s">
        <v>50</v>
      </c>
      <c r="D352" s="25" t="s">
        <v>51</v>
      </c>
      <c r="E352" s="25" t="s">
        <v>52</v>
      </c>
      <c r="F352" s="25" t="s">
        <v>53</v>
      </c>
    </row>
    <row r="353" ht="18" customHeight="1" spans="2:6" x14ac:dyDescent="0.25">
      <c r="B353" s="9" t="s">
        <v>54</v>
      </c>
      <c r="E353" s="26">
        <f>C$6</f>
      </c>
      <c r="F353" s="27" t="s">
        <v>55</v>
      </c>
    </row>
    <row r="354" ht="18" customHeight="1" spans="2:6" x14ac:dyDescent="0.25">
      <c r="B354" s="12" t="s">
        <v>56</v>
      </c>
      <c r="C354" s="7">
        <f>C$11</f>
      </c>
      <c r="D354" s="28" t="s">
        <v>57</v>
      </c>
      <c r="E354" s="26">
        <f>C354</f>
      </c>
      <c r="F354" s="27" t="s">
        <v>55</v>
      </c>
    </row>
    <row r="355" ht="18" customHeight="1" spans="2:6" x14ac:dyDescent="0.25">
      <c r="B355" s="12" t="s">
        <v>32</v>
      </c>
      <c r="C355" s="29">
        <v>0</v>
      </c>
      <c r="D355" s="30">
        <f>C$24</f>
      </c>
      <c r="E355" s="26">
        <f>C355*D355</f>
      </c>
      <c r="F355" s="27" t="s">
        <v>55</v>
      </c>
    </row>
    <row r="356" ht="18" customHeight="1" spans="2:6" x14ac:dyDescent="0.25">
      <c r="B356" s="12" t="s">
        <v>34</v>
      </c>
      <c r="C356" s="29">
        <v>0</v>
      </c>
      <c r="D356" s="30">
        <f>C$25</f>
      </c>
      <c r="E356" s="26">
        <f>C356*D356</f>
      </c>
      <c r="F356" s="27" t="s">
        <v>55</v>
      </c>
    </row>
    <row r="357" ht="18" customHeight="1" spans="2:6" x14ac:dyDescent="0.25">
      <c r="B357" s="12" t="s">
        <v>35</v>
      </c>
      <c r="C357" s="29">
        <v>0</v>
      </c>
      <c r="D357" s="30">
        <f>C$26</f>
      </c>
      <c r="E357" s="26">
        <f>C357*D357</f>
      </c>
      <c r="F357" s="27" t="s">
        <v>55</v>
      </c>
    </row>
    <row r="358" ht="18" customHeight="1" spans="2:6" x14ac:dyDescent="0.25">
      <c r="B358" s="12" t="s">
        <v>36</v>
      </c>
      <c r="C358" s="29">
        <v>0</v>
      </c>
      <c r="D358" s="30">
        <f>C$27</f>
      </c>
      <c r="E358" s="26">
        <f>C358*D358</f>
      </c>
      <c r="F358" s="27" t="s">
        <v>55</v>
      </c>
    </row>
    <row r="359" ht="18" customHeight="1" spans="2:6" x14ac:dyDescent="0.25">
      <c r="B359" s="12" t="s">
        <v>37</v>
      </c>
      <c r="C359" s="29">
        <v>0</v>
      </c>
      <c r="D359" s="30">
        <f>C$28</f>
      </c>
      <c r="E359" s="26">
        <f>C359*D359</f>
      </c>
      <c r="F359" s="27" t="s">
        <v>55</v>
      </c>
    </row>
    <row r="360" ht="18" customHeight="1" spans="2:6" x14ac:dyDescent="0.25">
      <c r="B360" s="12" t="s">
        <v>38</v>
      </c>
      <c r="C360" s="29">
        <v>0</v>
      </c>
      <c r="D360" s="30">
        <f>C$29</f>
      </c>
      <c r="E360" s="26">
        <f>C360*D360</f>
      </c>
      <c r="F360" s="31" t="s">
        <v>58</v>
      </c>
    </row>
    <row r="361" ht="18" customHeight="1" spans="2:6" x14ac:dyDescent="0.25">
      <c r="B361" s="12" t="s">
        <v>40</v>
      </c>
      <c r="C361" s="29">
        <v>0</v>
      </c>
      <c r="D361" s="30">
        <f>C$30</f>
      </c>
      <c r="E361" s="26">
        <f>C361*D361</f>
      </c>
      <c r="F361" s="31" t="s">
        <v>58</v>
      </c>
    </row>
    <row r="362" ht="18" customHeight="1" spans="2:6" x14ac:dyDescent="0.25">
      <c r="B362" s="12" t="s">
        <v>59</v>
      </c>
      <c r="C362" s="29">
        <v>0</v>
      </c>
      <c r="D362" s="30">
        <f>C$33</f>
      </c>
      <c r="E362" s="26">
        <f>C362*D362</f>
      </c>
      <c r="F362" s="31" t="s">
        <v>58</v>
      </c>
    </row>
    <row r="363" ht="16" customHeight="1" spans="1:6" x14ac:dyDescent="0.25">
      <c r="A363" s="32" t="s">
        <v>60</v>
      </c>
      <c r="B363" s="32"/>
      <c r="C363" s="32"/>
      <c r="D363" s="32"/>
      <c r="E363" s="32"/>
      <c r="F363" s="32"/>
    </row>
    <row r="364" ht="18" customHeight="1" spans="2:6" x14ac:dyDescent="0.25">
      <c r="B364" s="12" t="s">
        <v>41</v>
      </c>
      <c r="C364" s="29">
        <v>0</v>
      </c>
      <c r="D364" s="30">
        <f>C$31</f>
      </c>
      <c r="E364" s="26">
        <f>C364*D364</f>
      </c>
      <c r="F364" s="27" t="s">
        <v>61</v>
      </c>
    </row>
    <row r="365" ht="18" customHeight="1" spans="2:6" x14ac:dyDescent="0.25">
      <c r="B365" s="12" t="s">
        <v>43</v>
      </c>
      <c r="C365" s="29">
        <v>0</v>
      </c>
      <c r="D365" s="30">
        <f>C$32</f>
      </c>
      <c r="E365" s="26">
        <f>C365*D365</f>
      </c>
      <c r="F365" s="27" t="s">
        <v>61</v>
      </c>
    </row>
    <row r="366" ht="16" customHeight="1" spans="1:6" x14ac:dyDescent="0.25">
      <c r="A366" s="33" t="s">
        <v>62</v>
      </c>
      <c r="B366" s="33"/>
      <c r="C366" s="33"/>
      <c r="D366" s="33"/>
      <c r="E366" s="33"/>
      <c r="F366" s="33"/>
    </row>
    <row r="367" ht="18" customHeight="1" spans="2:6" x14ac:dyDescent="0.25">
      <c r="B367" s="12" t="s">
        <v>63</v>
      </c>
      <c r="C367" s="7">
        <v>0</v>
      </c>
      <c r="D367" s="28" t="s">
        <v>57</v>
      </c>
      <c r="E367" s="34">
        <f>C367</f>
      </c>
      <c r="F367" s="35" t="s">
        <v>64</v>
      </c>
    </row>
    <row r="368" ht="18" customHeight="1" spans="2:6" x14ac:dyDescent="0.25">
      <c r="B368" s="12" t="s">
        <v>65</v>
      </c>
      <c r="C368" s="7">
        <v>0</v>
      </c>
      <c r="D368" s="28" t="s">
        <v>57</v>
      </c>
      <c r="E368" s="34">
        <f>C368</f>
      </c>
      <c r="F368" s="35" t="s">
        <v>64</v>
      </c>
    </row>
    <row r="369" ht="18" customHeight="1" spans="2:6" x14ac:dyDescent="0.25">
      <c r="B369" s="12" t="s">
        <v>66</v>
      </c>
      <c r="C369" s="29">
        <v>0</v>
      </c>
      <c r="D369" s="30">
        <f>C$34</f>
      </c>
      <c r="E369" s="34">
        <f>C369*D369</f>
      </c>
      <c r="F369" s="35" t="s">
        <v>64</v>
      </c>
    </row>
    <row r="370" ht="3" customHeight="1" spans="1:6" x14ac:dyDescent="0.25">
      <c r="A370" s="36"/>
      <c r="B370" s="36"/>
      <c r="C370" s="36"/>
      <c r="D370" s="36"/>
      <c r="E370" s="36"/>
      <c r="F370" s="36"/>
    </row>
    <row r="371" ht="20" customHeight="1" spans="1:5" x14ac:dyDescent="0.25">
      <c r="A371" s="37" t="s">
        <v>67</v>
      </c>
      <c r="B371" s="37"/>
      <c r="C371" s="37"/>
      <c r="D371" s="37"/>
      <c r="E371" s="38">
        <f>E353+E354+E355+E356+E357+E358+E359+E360+E361+E362+E364+E365</f>
      </c>
    </row>
    <row r="372" ht="20" customHeight="1" spans="1:5" x14ac:dyDescent="0.25">
      <c r="A372" s="39" t="s">
        <v>68</v>
      </c>
      <c r="B372" s="39"/>
      <c r="C372" s="39"/>
      <c r="D372" s="39"/>
      <c r="E372" s="34">
        <f>E367+E368+E369</f>
      </c>
    </row>
    <row r="373" ht="20" customHeight="1" spans="1:5" x14ac:dyDescent="0.25">
      <c r="A373" s="40" t="s">
        <v>69</v>
      </c>
      <c r="B373" s="40"/>
      <c r="C373" s="40"/>
      <c r="D373" s="40"/>
      <c r="E373" s="41">
        <f>E364+E365</f>
      </c>
    </row>
    <row r="374" ht="3" customHeight="1" spans="1:6" x14ac:dyDescent="0.25">
      <c r="A374" s="36"/>
      <c r="B374" s="36"/>
      <c r="C374" s="36"/>
      <c r="D374" s="36"/>
      <c r="E374" s="36"/>
      <c r="F374" s="36"/>
    </row>
    <row r="375" ht="16" customHeight="1" spans="1:6" x14ac:dyDescent="0.25">
      <c r="A375" s="42" t="s">
        <v>70</v>
      </c>
      <c r="B375" s="42"/>
      <c r="C375" s="42"/>
      <c r="D375" s="42"/>
      <c r="E375" s="42"/>
      <c r="F375" s="42"/>
    </row>
    <row r="376" ht="20" customHeight="1" spans="1:6" x14ac:dyDescent="0.25">
      <c r="A376" s="43" t="s">
        <v>71</v>
      </c>
      <c r="B376" s="43"/>
      <c r="C376" s="43"/>
      <c r="D376" s="43"/>
      <c r="E376" s="44">
        <f>E353+E354+E355+E356+E357+E358+E359+E360+E361+E362+C$10</f>
      </c>
      <c r="F376" s="45" t="s">
        <v>33</v>
      </c>
    </row>
    <row r="377" ht="20" customHeight="1" spans="1:6" x14ac:dyDescent="0.25">
      <c r="A377" s="43" t="s">
        <v>72</v>
      </c>
      <c r="B377" s="43"/>
      <c r="C377" s="43"/>
      <c r="D377" s="43"/>
      <c r="E377" s="44">
        <f>E376+E373</f>
      </c>
      <c r="F377" s="45" t="s">
        <v>73</v>
      </c>
    </row>
    <row r="378" ht="20" customHeight="1" spans="1:5" x14ac:dyDescent="0.25">
      <c r="A378" s="46" t="s">
        <v>74</v>
      </c>
      <c r="B378" s="46"/>
      <c r="C378" s="46"/>
      <c r="D378" s="47">
        <f>C$15</f>
      </c>
      <c r="E378" s="48">
        <f>E376*C$15</f>
      </c>
    </row>
    <row r="379" ht="20" customHeight="1" spans="1:5" x14ac:dyDescent="0.25">
      <c r="A379" s="46" t="s">
        <v>75</v>
      </c>
      <c r="B379" s="46"/>
      <c r="C379" s="46"/>
      <c r="D379" s="47">
        <f>C$16</f>
      </c>
      <c r="E379" s="48">
        <f>E377*C$16</f>
      </c>
    </row>
    <row r="380" ht="20" customHeight="1" spans="1:5" x14ac:dyDescent="0.25">
      <c r="A380" s="46" t="s">
        <v>76</v>
      </c>
      <c r="B380" s="46"/>
      <c r="C380" s="46"/>
      <c r="D380" s="47">
        <f>C$17</f>
      </c>
      <c r="E380" s="48">
        <f>E373*C$17</f>
      </c>
    </row>
    <row r="381" ht="20" customHeight="1" spans="1:5" x14ac:dyDescent="0.25">
      <c r="A381" s="46" t="s">
        <v>77</v>
      </c>
      <c r="B381" s="46"/>
      <c r="C381" s="46"/>
      <c r="D381" s="47">
        <f>C$18</f>
      </c>
      <c r="E381" s="48">
        <f>E377*C$18</f>
      </c>
    </row>
    <row r="382" ht="20" customHeight="1" spans="1:5" x14ac:dyDescent="0.25">
      <c r="A382" s="49" t="s">
        <v>78</v>
      </c>
      <c r="B382" s="49"/>
      <c r="C382" s="49"/>
      <c r="D382" s="49"/>
      <c r="E382" s="50">
        <f>E378+E379+E380+E381</f>
      </c>
    </row>
    <row r="383" ht="3" customHeight="1" spans="1:6" x14ac:dyDescent="0.25">
      <c r="A383" s="36"/>
      <c r="B383" s="36"/>
      <c r="C383" s="36"/>
      <c r="D383" s="36"/>
      <c r="E383" s="36"/>
      <c r="F383" s="36"/>
    </row>
    <row r="384" ht="22" customHeight="1" spans="1:5" x14ac:dyDescent="0.25">
      <c r="A384" s="51" t="s">
        <v>79</v>
      </c>
      <c r="B384" s="51"/>
      <c r="C384" s="51"/>
      <c r="D384" s="47">
        <f>F351</f>
      </c>
      <c r="E384" s="48">
        <f>E371*F351</f>
      </c>
    </row>
    <row r="385" ht="3" customHeight="1" spans="1:6" x14ac:dyDescent="0.25">
      <c r="A385" s="36"/>
      <c r="B385" s="36"/>
      <c r="C385" s="36"/>
      <c r="D385" s="36"/>
      <c r="E385" s="36"/>
      <c r="F385" s="36"/>
    </row>
    <row r="386" ht="30" customHeight="1" spans="1:6" x14ac:dyDescent="0.25">
      <c r="A386" s="52" t="s">
        <v>80</v>
      </c>
      <c r="B386" s="52"/>
      <c r="C386" s="52"/>
      <c r="D386" s="52"/>
      <c r="E386" s="53">
        <f>E371+E372-E382-E384</f>
      </c>
      <c r="F386" s="54" t="s">
        <v>81</v>
      </c>
    </row>
    <row r="387" ht="18" customHeight="1" spans="1:6" x14ac:dyDescent="0.25">
      <c r="A387" s="55" t="s">
        <v>82</v>
      </c>
      <c r="B387" s="55"/>
      <c r="C387" s="55"/>
      <c r="D387" s="55"/>
      <c r="E387" s="55"/>
      <c r="F387" s="55"/>
    </row>
    <row r="388" ht="18" customHeight="1" spans="1:5" x14ac:dyDescent="0.25">
      <c r="A388" s="56" t="s">
        <v>83</v>
      </c>
      <c r="B388" s="56"/>
      <c r="C388" s="56"/>
      <c r="D388" s="56"/>
      <c r="E388" s="57">
        <f>(C$6/31)*C362</f>
      </c>
    </row>
    <row r="389" ht="18" customHeight="1" spans="1:5" x14ac:dyDescent="0.25">
      <c r="A389" s="56" t="s">
        <v>84</v>
      </c>
      <c r="B389" s="56"/>
      <c r="C389" s="56"/>
      <c r="D389" s="56"/>
      <c r="E389" s="57">
        <f>E360</f>
      </c>
    </row>
    <row r="390" ht="18" customHeight="1" spans="1:5" x14ac:dyDescent="0.25">
      <c r="A390" s="56" t="s">
        <v>85</v>
      </c>
      <c r="B390" s="56"/>
      <c r="C390" s="56"/>
      <c r="D390" s="56"/>
      <c r="E390" s="57">
        <f>E361</f>
      </c>
    </row>
    <row r="391" ht="18" customHeight="1" spans="1:5" x14ac:dyDescent="0.25">
      <c r="A391" s="56" t="s">
        <v>86</v>
      </c>
      <c r="B391" s="56"/>
      <c r="C391" s="56"/>
      <c r="D391" s="56"/>
      <c r="E391" s="57">
        <f>E362</f>
      </c>
    </row>
    <row r="392" ht="22" customHeight="1" spans="1:5" x14ac:dyDescent="0.25">
      <c r="A392" s="58" t="s">
        <v>87</v>
      </c>
      <c r="B392" s="58"/>
      <c r="C392" s="58"/>
      <c r="D392" s="58"/>
      <c r="E392" s="59">
        <f>(C$6/31)*C362+E360+E361+E362</f>
      </c>
    </row>
    <row r="393" ht="22" customHeight="1" spans="1:5" x14ac:dyDescent="0.25">
      <c r="A393" s="60" t="s">
        <v>88</v>
      </c>
      <c r="B393" s="60"/>
      <c r="C393" s="60"/>
      <c r="D393" s="61">
        <f>F351</f>
      </c>
      <c r="E393" s="59">
        <f>E392*F351</f>
      </c>
    </row>
    <row r="394" ht="30" customHeight="1" spans="1:6" x14ac:dyDescent="0.25">
      <c r="A394" s="62" t="s">
        <v>89</v>
      </c>
      <c r="B394" s="62"/>
      <c r="C394" s="62"/>
      <c r="D394" s="62"/>
      <c r="E394" s="62"/>
      <c r="F394" s="62"/>
    </row>
    <row r="395" ht="10" customHeight="1" spans="1:6" x14ac:dyDescent="0.25">
      <c r="A395" s="3"/>
      <c r="B395" s="3"/>
      <c r="C395" s="3"/>
      <c r="D395" s="3"/>
      <c r="E395" s="3"/>
      <c r="F395" s="3"/>
    </row>
    <row r="396" ht="26" customHeight="1" spans="1:6" x14ac:dyDescent="0.25">
      <c r="A396" s="21" t="s">
        <v>99</v>
      </c>
      <c r="B396" s="21"/>
      <c r="C396" s="21"/>
      <c r="D396" s="21"/>
      <c r="E396" s="22" t="s">
        <v>94</v>
      </c>
      <c r="F396" s="17">
        <f>$C$20</f>
      </c>
    </row>
    <row r="397" ht="16" customHeight="1" spans="1:6" x14ac:dyDescent="0.25">
      <c r="A397" s="23" t="s">
        <v>3</v>
      </c>
      <c r="B397" s="24" t="s">
        <v>49</v>
      </c>
      <c r="C397" s="25" t="s">
        <v>50</v>
      </c>
      <c r="D397" s="25" t="s">
        <v>51</v>
      </c>
      <c r="E397" s="25" t="s">
        <v>52</v>
      </c>
      <c r="F397" s="25" t="s">
        <v>53</v>
      </c>
    </row>
    <row r="398" ht="18" customHeight="1" spans="2:6" x14ac:dyDescent="0.25">
      <c r="B398" s="9" t="s">
        <v>54</v>
      </c>
      <c r="E398" s="26">
        <f>C$6</f>
      </c>
      <c r="F398" s="27" t="s">
        <v>55</v>
      </c>
    </row>
    <row r="399" ht="18" customHeight="1" spans="2:6" x14ac:dyDescent="0.25">
      <c r="B399" s="12" t="s">
        <v>56</v>
      </c>
      <c r="C399" s="7">
        <f>C$11</f>
      </c>
      <c r="D399" s="28" t="s">
        <v>57</v>
      </c>
      <c r="E399" s="26">
        <f>C399</f>
      </c>
      <c r="F399" s="27" t="s">
        <v>55</v>
      </c>
    </row>
    <row r="400" ht="18" customHeight="1" spans="2:6" x14ac:dyDescent="0.25">
      <c r="B400" s="12" t="s">
        <v>32</v>
      </c>
      <c r="C400" s="29">
        <v>0</v>
      </c>
      <c r="D400" s="30">
        <f>C$24</f>
      </c>
      <c r="E400" s="26">
        <f>C400*D400</f>
      </c>
      <c r="F400" s="27" t="s">
        <v>55</v>
      </c>
    </row>
    <row r="401" ht="18" customHeight="1" spans="2:6" x14ac:dyDescent="0.25">
      <c r="B401" s="12" t="s">
        <v>34</v>
      </c>
      <c r="C401" s="29">
        <v>0</v>
      </c>
      <c r="D401" s="30">
        <f>C$25</f>
      </c>
      <c r="E401" s="26">
        <f>C401*D401</f>
      </c>
      <c r="F401" s="27" t="s">
        <v>55</v>
      </c>
    </row>
    <row r="402" ht="18" customHeight="1" spans="2:6" x14ac:dyDescent="0.25">
      <c r="B402" s="12" t="s">
        <v>35</v>
      </c>
      <c r="C402" s="29">
        <v>0</v>
      </c>
      <c r="D402" s="30">
        <f>C$26</f>
      </c>
      <c r="E402" s="26">
        <f>C402*D402</f>
      </c>
      <c r="F402" s="27" t="s">
        <v>55</v>
      </c>
    </row>
    <row r="403" ht="18" customHeight="1" spans="2:6" x14ac:dyDescent="0.25">
      <c r="B403" s="12" t="s">
        <v>36</v>
      </c>
      <c r="C403" s="29">
        <v>0</v>
      </c>
      <c r="D403" s="30">
        <f>C$27</f>
      </c>
      <c r="E403" s="26">
        <f>C403*D403</f>
      </c>
      <c r="F403" s="27" t="s">
        <v>55</v>
      </c>
    </row>
    <row r="404" ht="18" customHeight="1" spans="2:6" x14ac:dyDescent="0.25">
      <c r="B404" s="12" t="s">
        <v>37</v>
      </c>
      <c r="C404" s="29">
        <v>0</v>
      </c>
      <c r="D404" s="30">
        <f>C$28</f>
      </c>
      <c r="E404" s="26">
        <f>C404*D404</f>
      </c>
      <c r="F404" s="27" t="s">
        <v>55</v>
      </c>
    </row>
    <row r="405" ht="18" customHeight="1" spans="2:6" x14ac:dyDescent="0.25">
      <c r="B405" s="12" t="s">
        <v>38</v>
      </c>
      <c r="C405" s="29">
        <v>0</v>
      </c>
      <c r="D405" s="30">
        <f>C$29</f>
      </c>
      <c r="E405" s="26">
        <f>C405*D405</f>
      </c>
      <c r="F405" s="31" t="s">
        <v>58</v>
      </c>
    </row>
    <row r="406" ht="18" customHeight="1" spans="2:6" x14ac:dyDescent="0.25">
      <c r="B406" s="12" t="s">
        <v>40</v>
      </c>
      <c r="C406" s="29">
        <v>0</v>
      </c>
      <c r="D406" s="30">
        <f>C$30</f>
      </c>
      <c r="E406" s="26">
        <f>C406*D406</f>
      </c>
      <c r="F406" s="31" t="s">
        <v>58</v>
      </c>
    </row>
    <row r="407" ht="18" customHeight="1" spans="2:6" x14ac:dyDescent="0.25">
      <c r="B407" s="12" t="s">
        <v>59</v>
      </c>
      <c r="C407" s="29">
        <v>0</v>
      </c>
      <c r="D407" s="30">
        <f>C$33</f>
      </c>
      <c r="E407" s="26">
        <f>C407*D407</f>
      </c>
      <c r="F407" s="31" t="s">
        <v>58</v>
      </c>
    </row>
    <row r="408" ht="16" customHeight="1" spans="1:6" x14ac:dyDescent="0.25">
      <c r="A408" s="32" t="s">
        <v>60</v>
      </c>
      <c r="B408" s="32"/>
      <c r="C408" s="32"/>
      <c r="D408" s="32"/>
      <c r="E408" s="32"/>
      <c r="F408" s="32"/>
    </row>
    <row r="409" ht="18" customHeight="1" spans="2:6" x14ac:dyDescent="0.25">
      <c r="B409" s="12" t="s">
        <v>41</v>
      </c>
      <c r="C409" s="29">
        <v>0</v>
      </c>
      <c r="D409" s="30">
        <f>C$31</f>
      </c>
      <c r="E409" s="26">
        <f>C409*D409</f>
      </c>
      <c r="F409" s="27" t="s">
        <v>61</v>
      </c>
    </row>
    <row r="410" ht="18" customHeight="1" spans="2:6" x14ac:dyDescent="0.25">
      <c r="B410" s="12" t="s">
        <v>43</v>
      </c>
      <c r="C410" s="29">
        <v>0</v>
      </c>
      <c r="D410" s="30">
        <f>C$32</f>
      </c>
      <c r="E410" s="26">
        <f>C410*D410</f>
      </c>
      <c r="F410" s="27" t="s">
        <v>61</v>
      </c>
    </row>
    <row r="411" ht="16" customHeight="1" spans="1:6" x14ac:dyDescent="0.25">
      <c r="A411" s="33" t="s">
        <v>62</v>
      </c>
      <c r="B411" s="33"/>
      <c r="C411" s="33"/>
      <c r="D411" s="33"/>
      <c r="E411" s="33"/>
      <c r="F411" s="33"/>
    </row>
    <row r="412" ht="18" customHeight="1" spans="2:6" x14ac:dyDescent="0.25">
      <c r="B412" s="12" t="s">
        <v>63</v>
      </c>
      <c r="C412" s="7">
        <v>0</v>
      </c>
      <c r="D412" s="28" t="s">
        <v>57</v>
      </c>
      <c r="E412" s="34">
        <f>C412</f>
      </c>
      <c r="F412" s="35" t="s">
        <v>64</v>
      </c>
    </row>
    <row r="413" ht="18" customHeight="1" spans="2:6" x14ac:dyDescent="0.25">
      <c r="B413" s="12" t="s">
        <v>65</v>
      </c>
      <c r="C413" s="7">
        <v>0</v>
      </c>
      <c r="D413" s="28" t="s">
        <v>57</v>
      </c>
      <c r="E413" s="34">
        <f>C413</f>
      </c>
      <c r="F413" s="35" t="s">
        <v>64</v>
      </c>
    </row>
    <row r="414" ht="18" customHeight="1" spans="2:6" x14ac:dyDescent="0.25">
      <c r="B414" s="12" t="s">
        <v>66</v>
      </c>
      <c r="C414" s="29">
        <v>0</v>
      </c>
      <c r="D414" s="30">
        <f>C$34</f>
      </c>
      <c r="E414" s="34">
        <f>C414*D414</f>
      </c>
      <c r="F414" s="35" t="s">
        <v>64</v>
      </c>
    </row>
    <row r="415" ht="3" customHeight="1" spans="1:6" x14ac:dyDescent="0.25">
      <c r="A415" s="36"/>
      <c r="B415" s="36"/>
      <c r="C415" s="36"/>
      <c r="D415" s="36"/>
      <c r="E415" s="36"/>
      <c r="F415" s="36"/>
    </row>
    <row r="416" ht="20" customHeight="1" spans="1:5" x14ac:dyDescent="0.25">
      <c r="A416" s="37" t="s">
        <v>67</v>
      </c>
      <c r="B416" s="37"/>
      <c r="C416" s="37"/>
      <c r="D416" s="37"/>
      <c r="E416" s="38">
        <f>E398+E399+E400+E401+E402+E403+E404+E405+E406+E407+E409+E410</f>
      </c>
    </row>
    <row r="417" ht="20" customHeight="1" spans="1:5" x14ac:dyDescent="0.25">
      <c r="A417" s="39" t="s">
        <v>68</v>
      </c>
      <c r="B417" s="39"/>
      <c r="C417" s="39"/>
      <c r="D417" s="39"/>
      <c r="E417" s="34">
        <f>E412+E413+E414</f>
      </c>
    </row>
    <row r="418" ht="20" customHeight="1" spans="1:5" x14ac:dyDescent="0.25">
      <c r="A418" s="40" t="s">
        <v>69</v>
      </c>
      <c r="B418" s="40"/>
      <c r="C418" s="40"/>
      <c r="D418" s="40"/>
      <c r="E418" s="41">
        <f>E409+E410</f>
      </c>
    </row>
    <row r="419" ht="3" customHeight="1" spans="1:6" x14ac:dyDescent="0.25">
      <c r="A419" s="36"/>
      <c r="B419" s="36"/>
      <c r="C419" s="36"/>
      <c r="D419" s="36"/>
      <c r="E419" s="36"/>
      <c r="F419" s="36"/>
    </row>
    <row r="420" ht="16" customHeight="1" spans="1:6" x14ac:dyDescent="0.25">
      <c r="A420" s="42" t="s">
        <v>70</v>
      </c>
      <c r="B420" s="42"/>
      <c r="C420" s="42"/>
      <c r="D420" s="42"/>
      <c r="E420" s="42"/>
      <c r="F420" s="42"/>
    </row>
    <row r="421" ht="20" customHeight="1" spans="1:6" x14ac:dyDescent="0.25">
      <c r="A421" s="43" t="s">
        <v>71</v>
      </c>
      <c r="B421" s="43"/>
      <c r="C421" s="43"/>
      <c r="D421" s="43"/>
      <c r="E421" s="44">
        <f>E398+E399+E400+E401+E402+E403+E404+E405+E406+E407+C$10</f>
      </c>
      <c r="F421" s="45" t="s">
        <v>33</v>
      </c>
    </row>
    <row r="422" ht="20" customHeight="1" spans="1:6" x14ac:dyDescent="0.25">
      <c r="A422" s="43" t="s">
        <v>72</v>
      </c>
      <c r="B422" s="43"/>
      <c r="C422" s="43"/>
      <c r="D422" s="43"/>
      <c r="E422" s="44">
        <f>E421+E418</f>
      </c>
      <c r="F422" s="45" t="s">
        <v>73</v>
      </c>
    </row>
    <row r="423" ht="20" customHeight="1" spans="1:5" x14ac:dyDescent="0.25">
      <c r="A423" s="46" t="s">
        <v>74</v>
      </c>
      <c r="B423" s="46"/>
      <c r="C423" s="46"/>
      <c r="D423" s="47">
        <f>C$15</f>
      </c>
      <c r="E423" s="48">
        <f>E421*C$15</f>
      </c>
    </row>
    <row r="424" ht="20" customHeight="1" spans="1:5" x14ac:dyDescent="0.25">
      <c r="A424" s="46" t="s">
        <v>75</v>
      </c>
      <c r="B424" s="46"/>
      <c r="C424" s="46"/>
      <c r="D424" s="47">
        <f>C$16</f>
      </c>
      <c r="E424" s="48">
        <f>E422*C$16</f>
      </c>
    </row>
    <row r="425" ht="20" customHeight="1" spans="1:5" x14ac:dyDescent="0.25">
      <c r="A425" s="46" t="s">
        <v>76</v>
      </c>
      <c r="B425" s="46"/>
      <c r="C425" s="46"/>
      <c r="D425" s="47">
        <f>C$17</f>
      </c>
      <c r="E425" s="48">
        <f>E418*C$17</f>
      </c>
    </row>
    <row r="426" ht="20" customHeight="1" spans="1:5" x14ac:dyDescent="0.25">
      <c r="A426" s="46" t="s">
        <v>77</v>
      </c>
      <c r="B426" s="46"/>
      <c r="C426" s="46"/>
      <c r="D426" s="47">
        <f>C$18</f>
      </c>
      <c r="E426" s="48">
        <f>E422*C$18</f>
      </c>
    </row>
    <row r="427" ht="20" customHeight="1" spans="1:5" x14ac:dyDescent="0.25">
      <c r="A427" s="49" t="s">
        <v>78</v>
      </c>
      <c r="B427" s="49"/>
      <c r="C427" s="49"/>
      <c r="D427" s="49"/>
      <c r="E427" s="50">
        <f>E423+E424+E425+E426</f>
      </c>
    </row>
    <row r="428" ht="3" customHeight="1" spans="1:6" x14ac:dyDescent="0.25">
      <c r="A428" s="36"/>
      <c r="B428" s="36"/>
      <c r="C428" s="36"/>
      <c r="D428" s="36"/>
      <c r="E428" s="36"/>
      <c r="F428" s="36"/>
    </row>
    <row r="429" ht="22" customHeight="1" spans="1:5" x14ac:dyDescent="0.25">
      <c r="A429" s="51" t="s">
        <v>79</v>
      </c>
      <c r="B429" s="51"/>
      <c r="C429" s="51"/>
      <c r="D429" s="47">
        <f>F396</f>
      </c>
      <c r="E429" s="48">
        <f>E416*F396</f>
      </c>
    </row>
    <row r="430" ht="3" customHeight="1" spans="1:6" x14ac:dyDescent="0.25">
      <c r="A430" s="36"/>
      <c r="B430" s="36"/>
      <c r="C430" s="36"/>
      <c r="D430" s="36"/>
      <c r="E430" s="36"/>
      <c r="F430" s="36"/>
    </row>
    <row r="431" ht="30" customHeight="1" spans="1:6" x14ac:dyDescent="0.25">
      <c r="A431" s="52" t="s">
        <v>80</v>
      </c>
      <c r="B431" s="52"/>
      <c r="C431" s="52"/>
      <c r="D431" s="52"/>
      <c r="E431" s="53">
        <f>E416+E417-E427-E429</f>
      </c>
      <c r="F431" s="54" t="s">
        <v>81</v>
      </c>
    </row>
    <row r="432" ht="18" customHeight="1" spans="1:6" x14ac:dyDescent="0.25">
      <c r="A432" s="55" t="s">
        <v>82</v>
      </c>
      <c r="B432" s="55"/>
      <c r="C432" s="55"/>
      <c r="D432" s="55"/>
      <c r="E432" s="55"/>
      <c r="F432" s="55"/>
    </row>
    <row r="433" ht="18" customHeight="1" spans="1:5" x14ac:dyDescent="0.25">
      <c r="A433" s="56" t="s">
        <v>83</v>
      </c>
      <c r="B433" s="56"/>
      <c r="C433" s="56"/>
      <c r="D433" s="56"/>
      <c r="E433" s="57">
        <f>(C$6/30)*C407</f>
      </c>
    </row>
    <row r="434" ht="18" customHeight="1" spans="1:5" x14ac:dyDescent="0.25">
      <c r="A434" s="56" t="s">
        <v>84</v>
      </c>
      <c r="B434" s="56"/>
      <c r="C434" s="56"/>
      <c r="D434" s="56"/>
      <c r="E434" s="57">
        <f>E405</f>
      </c>
    </row>
    <row r="435" ht="18" customHeight="1" spans="1:5" x14ac:dyDescent="0.25">
      <c r="A435" s="56" t="s">
        <v>85</v>
      </c>
      <c r="B435" s="56"/>
      <c r="C435" s="56"/>
      <c r="D435" s="56"/>
      <c r="E435" s="57">
        <f>E406</f>
      </c>
    </row>
    <row r="436" ht="18" customHeight="1" spans="1:5" x14ac:dyDescent="0.25">
      <c r="A436" s="56" t="s">
        <v>86</v>
      </c>
      <c r="B436" s="56"/>
      <c r="C436" s="56"/>
      <c r="D436" s="56"/>
      <c r="E436" s="57">
        <f>E407</f>
      </c>
    </row>
    <row r="437" ht="22" customHeight="1" spans="1:5" x14ac:dyDescent="0.25">
      <c r="A437" s="58" t="s">
        <v>87</v>
      </c>
      <c r="B437" s="58"/>
      <c r="C437" s="58"/>
      <c r="D437" s="58"/>
      <c r="E437" s="59">
        <f>(C$6/30)*C407+E405+E406+E407</f>
      </c>
    </row>
    <row r="438" ht="22" customHeight="1" spans="1:5" x14ac:dyDescent="0.25">
      <c r="A438" s="60" t="s">
        <v>88</v>
      </c>
      <c r="B438" s="60"/>
      <c r="C438" s="60"/>
      <c r="D438" s="61">
        <f>F396</f>
      </c>
      <c r="E438" s="59">
        <f>E437*F396</f>
      </c>
    </row>
    <row r="439" ht="30" customHeight="1" spans="1:6" x14ac:dyDescent="0.25">
      <c r="A439" s="62" t="s">
        <v>89</v>
      </c>
      <c r="B439" s="62"/>
      <c r="C439" s="62"/>
      <c r="D439" s="62"/>
      <c r="E439" s="62"/>
      <c r="F439" s="62"/>
    </row>
    <row r="440" ht="10" customHeight="1" spans="1:6" x14ac:dyDescent="0.25">
      <c r="A440" s="3"/>
      <c r="B440" s="3"/>
      <c r="C440" s="3"/>
      <c r="D440" s="3"/>
      <c r="E440" s="3"/>
      <c r="F440" s="3"/>
    </row>
    <row r="441" ht="26" customHeight="1" spans="1:6" x14ac:dyDescent="0.25">
      <c r="A441" s="21" t="s">
        <v>100</v>
      </c>
      <c r="B441" s="21"/>
      <c r="C441" s="21"/>
      <c r="D441" s="21"/>
      <c r="E441" s="22" t="s">
        <v>48</v>
      </c>
      <c r="F441" s="17">
        <f>$C$20</f>
      </c>
    </row>
    <row r="442" ht="16" customHeight="1" spans="1:6" x14ac:dyDescent="0.25">
      <c r="A442" s="23" t="s">
        <v>3</v>
      </c>
      <c r="B442" s="24" t="s">
        <v>49</v>
      </c>
      <c r="C442" s="25" t="s">
        <v>50</v>
      </c>
      <c r="D442" s="25" t="s">
        <v>51</v>
      </c>
      <c r="E442" s="25" t="s">
        <v>52</v>
      </c>
      <c r="F442" s="25" t="s">
        <v>53</v>
      </c>
    </row>
    <row r="443" ht="18" customHeight="1" spans="2:6" x14ac:dyDescent="0.25">
      <c r="B443" s="9" t="s">
        <v>54</v>
      </c>
      <c r="E443" s="26">
        <f>C$6</f>
      </c>
      <c r="F443" s="27" t="s">
        <v>55</v>
      </c>
    </row>
    <row r="444" ht="18" customHeight="1" spans="2:6" x14ac:dyDescent="0.25">
      <c r="B444" s="12" t="s">
        <v>56</v>
      </c>
      <c r="C444" s="7">
        <f>C$11</f>
      </c>
      <c r="D444" s="28" t="s">
        <v>57</v>
      </c>
      <c r="E444" s="26">
        <f>C444</f>
      </c>
      <c r="F444" s="27" t="s">
        <v>55</v>
      </c>
    </row>
    <row r="445" ht="18" customHeight="1" spans="2:6" x14ac:dyDescent="0.25">
      <c r="B445" s="12" t="s">
        <v>32</v>
      </c>
      <c r="C445" s="29">
        <v>0</v>
      </c>
      <c r="D445" s="30">
        <f>C$24</f>
      </c>
      <c r="E445" s="26">
        <f>C445*D445</f>
      </c>
      <c r="F445" s="27" t="s">
        <v>55</v>
      </c>
    </row>
    <row r="446" ht="18" customHeight="1" spans="2:6" x14ac:dyDescent="0.25">
      <c r="B446" s="12" t="s">
        <v>34</v>
      </c>
      <c r="C446" s="29">
        <v>0</v>
      </c>
      <c r="D446" s="30">
        <f>C$25</f>
      </c>
      <c r="E446" s="26">
        <f>C446*D446</f>
      </c>
      <c r="F446" s="27" t="s">
        <v>55</v>
      </c>
    </row>
    <row r="447" ht="18" customHeight="1" spans="2:6" x14ac:dyDescent="0.25">
      <c r="B447" s="12" t="s">
        <v>35</v>
      </c>
      <c r="C447" s="29">
        <v>0</v>
      </c>
      <c r="D447" s="30">
        <f>C$26</f>
      </c>
      <c r="E447" s="26">
        <f>C447*D447</f>
      </c>
      <c r="F447" s="27" t="s">
        <v>55</v>
      </c>
    </row>
    <row r="448" ht="18" customHeight="1" spans="2:6" x14ac:dyDescent="0.25">
      <c r="B448" s="12" t="s">
        <v>36</v>
      </c>
      <c r="C448" s="29">
        <v>0</v>
      </c>
      <c r="D448" s="30">
        <f>C$27</f>
      </c>
      <c r="E448" s="26">
        <f>C448*D448</f>
      </c>
      <c r="F448" s="27" t="s">
        <v>55</v>
      </c>
    </row>
    <row r="449" ht="18" customHeight="1" spans="2:6" x14ac:dyDescent="0.25">
      <c r="B449" s="12" t="s">
        <v>37</v>
      </c>
      <c r="C449" s="29">
        <v>0</v>
      </c>
      <c r="D449" s="30">
        <f>C$28</f>
      </c>
      <c r="E449" s="26">
        <f>C449*D449</f>
      </c>
      <c r="F449" s="27" t="s">
        <v>55</v>
      </c>
    </row>
    <row r="450" ht="18" customHeight="1" spans="2:6" x14ac:dyDescent="0.25">
      <c r="B450" s="12" t="s">
        <v>38</v>
      </c>
      <c r="C450" s="29">
        <v>0</v>
      </c>
      <c r="D450" s="30">
        <f>C$29</f>
      </c>
      <c r="E450" s="26">
        <f>C450*D450</f>
      </c>
      <c r="F450" s="31" t="s">
        <v>58</v>
      </c>
    </row>
    <row r="451" ht="18" customHeight="1" spans="2:6" x14ac:dyDescent="0.25">
      <c r="B451" s="12" t="s">
        <v>40</v>
      </c>
      <c r="C451" s="29">
        <v>0</v>
      </c>
      <c r="D451" s="30">
        <f>C$30</f>
      </c>
      <c r="E451" s="26">
        <f>C451*D451</f>
      </c>
      <c r="F451" s="31" t="s">
        <v>58</v>
      </c>
    </row>
    <row r="452" ht="18" customHeight="1" spans="2:6" x14ac:dyDescent="0.25">
      <c r="B452" s="12" t="s">
        <v>59</v>
      </c>
      <c r="C452" s="29">
        <v>0</v>
      </c>
      <c r="D452" s="30">
        <f>C$33</f>
      </c>
      <c r="E452" s="26">
        <f>C452*D452</f>
      </c>
      <c r="F452" s="31" t="s">
        <v>58</v>
      </c>
    </row>
    <row r="453" ht="16" customHeight="1" spans="1:6" x14ac:dyDescent="0.25">
      <c r="A453" s="32" t="s">
        <v>60</v>
      </c>
      <c r="B453" s="32"/>
      <c r="C453" s="32"/>
      <c r="D453" s="32"/>
      <c r="E453" s="32"/>
      <c r="F453" s="32"/>
    </row>
    <row r="454" ht="18" customHeight="1" spans="2:6" x14ac:dyDescent="0.25">
      <c r="B454" s="12" t="s">
        <v>41</v>
      </c>
      <c r="C454" s="29">
        <v>0</v>
      </c>
      <c r="D454" s="30">
        <f>C$31</f>
      </c>
      <c r="E454" s="26">
        <f>C454*D454</f>
      </c>
      <c r="F454" s="27" t="s">
        <v>61</v>
      </c>
    </row>
    <row r="455" ht="18" customHeight="1" spans="2:6" x14ac:dyDescent="0.25">
      <c r="B455" s="12" t="s">
        <v>43</v>
      </c>
      <c r="C455" s="29">
        <v>0</v>
      </c>
      <c r="D455" s="30">
        <f>C$32</f>
      </c>
      <c r="E455" s="26">
        <f>C455*D455</f>
      </c>
      <c r="F455" s="27" t="s">
        <v>61</v>
      </c>
    </row>
    <row r="456" ht="16" customHeight="1" spans="1:6" x14ac:dyDescent="0.25">
      <c r="A456" s="33" t="s">
        <v>62</v>
      </c>
      <c r="B456" s="33"/>
      <c r="C456" s="33"/>
      <c r="D456" s="33"/>
      <c r="E456" s="33"/>
      <c r="F456" s="33"/>
    </row>
    <row r="457" ht="18" customHeight="1" spans="2:6" x14ac:dyDescent="0.25">
      <c r="B457" s="12" t="s">
        <v>63</v>
      </c>
      <c r="C457" s="7">
        <v>0</v>
      </c>
      <c r="D457" s="28" t="s">
        <v>57</v>
      </c>
      <c r="E457" s="34">
        <f>C457</f>
      </c>
      <c r="F457" s="35" t="s">
        <v>64</v>
      </c>
    </row>
    <row r="458" ht="18" customHeight="1" spans="2:6" x14ac:dyDescent="0.25">
      <c r="B458" s="12" t="s">
        <v>65</v>
      </c>
      <c r="C458" s="7">
        <v>0</v>
      </c>
      <c r="D458" s="28" t="s">
        <v>57</v>
      </c>
      <c r="E458" s="34">
        <f>C458</f>
      </c>
      <c r="F458" s="35" t="s">
        <v>64</v>
      </c>
    </row>
    <row r="459" ht="18" customHeight="1" spans="2:6" x14ac:dyDescent="0.25">
      <c r="B459" s="12" t="s">
        <v>66</v>
      </c>
      <c r="C459" s="29">
        <v>0</v>
      </c>
      <c r="D459" s="30">
        <f>C$34</f>
      </c>
      <c r="E459" s="34">
        <f>C459*D459</f>
      </c>
      <c r="F459" s="35" t="s">
        <v>64</v>
      </c>
    </row>
    <row r="460" ht="3" customHeight="1" spans="1:6" x14ac:dyDescent="0.25">
      <c r="A460" s="36"/>
      <c r="B460" s="36"/>
      <c r="C460" s="36"/>
      <c r="D460" s="36"/>
      <c r="E460" s="36"/>
      <c r="F460" s="36"/>
    </row>
    <row r="461" ht="20" customHeight="1" spans="1:5" x14ac:dyDescent="0.25">
      <c r="A461" s="37" t="s">
        <v>67</v>
      </c>
      <c r="B461" s="37"/>
      <c r="C461" s="37"/>
      <c r="D461" s="37"/>
      <c r="E461" s="38">
        <f>E443+E444+E445+E446+E447+E448+E449+E450+E451+E452+E454+E455</f>
      </c>
    </row>
    <row r="462" ht="20" customHeight="1" spans="1:5" x14ac:dyDescent="0.25">
      <c r="A462" s="39" t="s">
        <v>68</v>
      </c>
      <c r="B462" s="39"/>
      <c r="C462" s="39"/>
      <c r="D462" s="39"/>
      <c r="E462" s="34">
        <f>E457+E458+E459</f>
      </c>
    </row>
    <row r="463" ht="20" customHeight="1" spans="1:5" x14ac:dyDescent="0.25">
      <c r="A463" s="40" t="s">
        <v>69</v>
      </c>
      <c r="B463" s="40"/>
      <c r="C463" s="40"/>
      <c r="D463" s="40"/>
      <c r="E463" s="41">
        <f>E454+E455</f>
      </c>
    </row>
    <row r="464" ht="3" customHeight="1" spans="1:6" x14ac:dyDescent="0.25">
      <c r="A464" s="36"/>
      <c r="B464" s="36"/>
      <c r="C464" s="36"/>
      <c r="D464" s="36"/>
      <c r="E464" s="36"/>
      <c r="F464" s="36"/>
    </row>
    <row r="465" ht="16" customHeight="1" spans="1:6" x14ac:dyDescent="0.25">
      <c r="A465" s="42" t="s">
        <v>70</v>
      </c>
      <c r="B465" s="42"/>
      <c r="C465" s="42"/>
      <c r="D465" s="42"/>
      <c r="E465" s="42"/>
      <c r="F465" s="42"/>
    </row>
    <row r="466" ht="20" customHeight="1" spans="1:6" x14ac:dyDescent="0.25">
      <c r="A466" s="43" t="s">
        <v>71</v>
      </c>
      <c r="B466" s="43"/>
      <c r="C466" s="43"/>
      <c r="D466" s="43"/>
      <c r="E466" s="44">
        <f>E443+E444+E445+E446+E447+E448+E449+E450+E451+E452+C$10</f>
      </c>
      <c r="F466" s="45" t="s">
        <v>33</v>
      </c>
    </row>
    <row r="467" ht="20" customHeight="1" spans="1:6" x14ac:dyDescent="0.25">
      <c r="A467" s="43" t="s">
        <v>72</v>
      </c>
      <c r="B467" s="43"/>
      <c r="C467" s="43"/>
      <c r="D467" s="43"/>
      <c r="E467" s="44">
        <f>E466+E463</f>
      </c>
      <c r="F467" s="45" t="s">
        <v>73</v>
      </c>
    </row>
    <row r="468" ht="20" customHeight="1" spans="1:5" x14ac:dyDescent="0.25">
      <c r="A468" s="46" t="s">
        <v>74</v>
      </c>
      <c r="B468" s="46"/>
      <c r="C468" s="46"/>
      <c r="D468" s="47">
        <f>C$15</f>
      </c>
      <c r="E468" s="48">
        <f>E466*C$15</f>
      </c>
    </row>
    <row r="469" ht="20" customHeight="1" spans="1:5" x14ac:dyDescent="0.25">
      <c r="A469" s="46" t="s">
        <v>75</v>
      </c>
      <c r="B469" s="46"/>
      <c r="C469" s="46"/>
      <c r="D469" s="47">
        <f>C$16</f>
      </c>
      <c r="E469" s="48">
        <f>E467*C$16</f>
      </c>
    </row>
    <row r="470" ht="20" customHeight="1" spans="1:5" x14ac:dyDescent="0.25">
      <c r="A470" s="46" t="s">
        <v>76</v>
      </c>
      <c r="B470" s="46"/>
      <c r="C470" s="46"/>
      <c r="D470" s="47">
        <f>C$17</f>
      </c>
      <c r="E470" s="48">
        <f>E463*C$17</f>
      </c>
    </row>
    <row r="471" ht="20" customHeight="1" spans="1:5" x14ac:dyDescent="0.25">
      <c r="A471" s="46" t="s">
        <v>77</v>
      </c>
      <c r="B471" s="46"/>
      <c r="C471" s="46"/>
      <c r="D471" s="47">
        <f>C$18</f>
      </c>
      <c r="E471" s="48">
        <f>E467*C$18</f>
      </c>
    </row>
    <row r="472" ht="20" customHeight="1" spans="1:5" x14ac:dyDescent="0.25">
      <c r="A472" s="49" t="s">
        <v>78</v>
      </c>
      <c r="B472" s="49"/>
      <c r="C472" s="49"/>
      <c r="D472" s="49"/>
      <c r="E472" s="50">
        <f>E468+E469+E470+E471</f>
      </c>
    </row>
    <row r="473" ht="3" customHeight="1" spans="1:6" x14ac:dyDescent="0.25">
      <c r="A473" s="36"/>
      <c r="B473" s="36"/>
      <c r="C473" s="36"/>
      <c r="D473" s="36"/>
      <c r="E473" s="36"/>
      <c r="F473" s="36"/>
    </row>
    <row r="474" ht="22" customHeight="1" spans="1:5" x14ac:dyDescent="0.25">
      <c r="A474" s="51" t="s">
        <v>79</v>
      </c>
      <c r="B474" s="51"/>
      <c r="C474" s="51"/>
      <c r="D474" s="47">
        <f>F441</f>
      </c>
      <c r="E474" s="48">
        <f>E461*F441</f>
      </c>
    </row>
    <row r="475" ht="3" customHeight="1" spans="1:6" x14ac:dyDescent="0.25">
      <c r="A475" s="36"/>
      <c r="B475" s="36"/>
      <c r="C475" s="36"/>
      <c r="D475" s="36"/>
      <c r="E475" s="36"/>
      <c r="F475" s="36"/>
    </row>
    <row r="476" ht="30" customHeight="1" spans="1:6" x14ac:dyDescent="0.25">
      <c r="A476" s="52" t="s">
        <v>80</v>
      </c>
      <c r="B476" s="52"/>
      <c r="C476" s="52"/>
      <c r="D476" s="52"/>
      <c r="E476" s="53">
        <f>E461+E462-E472-E474</f>
      </c>
      <c r="F476" s="54" t="s">
        <v>81</v>
      </c>
    </row>
    <row r="477" ht="18" customHeight="1" spans="1:6" x14ac:dyDescent="0.25">
      <c r="A477" s="55" t="s">
        <v>82</v>
      </c>
      <c r="B477" s="55"/>
      <c r="C477" s="55"/>
      <c r="D477" s="55"/>
      <c r="E477" s="55"/>
      <c r="F477" s="55"/>
    </row>
    <row r="478" ht="18" customHeight="1" spans="1:5" x14ac:dyDescent="0.25">
      <c r="A478" s="56" t="s">
        <v>83</v>
      </c>
      <c r="B478" s="56"/>
      <c r="C478" s="56"/>
      <c r="D478" s="56"/>
      <c r="E478" s="57">
        <f>(C$6/31)*C452</f>
      </c>
    </row>
    <row r="479" ht="18" customHeight="1" spans="1:5" x14ac:dyDescent="0.25">
      <c r="A479" s="56" t="s">
        <v>84</v>
      </c>
      <c r="B479" s="56"/>
      <c r="C479" s="56"/>
      <c r="D479" s="56"/>
      <c r="E479" s="57">
        <f>E450</f>
      </c>
    </row>
    <row r="480" ht="18" customHeight="1" spans="1:5" x14ac:dyDescent="0.25">
      <c r="A480" s="56" t="s">
        <v>85</v>
      </c>
      <c r="B480" s="56"/>
      <c r="C480" s="56"/>
      <c r="D480" s="56"/>
      <c r="E480" s="57">
        <f>E451</f>
      </c>
    </row>
    <row r="481" ht="18" customHeight="1" spans="1:5" x14ac:dyDescent="0.25">
      <c r="A481" s="56" t="s">
        <v>86</v>
      </c>
      <c r="B481" s="56"/>
      <c r="C481" s="56"/>
      <c r="D481" s="56"/>
      <c r="E481" s="57">
        <f>E452</f>
      </c>
    </row>
    <row r="482" ht="22" customHeight="1" spans="1:5" x14ac:dyDescent="0.25">
      <c r="A482" s="58" t="s">
        <v>87</v>
      </c>
      <c r="B482" s="58"/>
      <c r="C482" s="58"/>
      <c r="D482" s="58"/>
      <c r="E482" s="59">
        <f>(C$6/31)*C452+E450+E451+E452</f>
      </c>
    </row>
    <row r="483" ht="22" customHeight="1" spans="1:5" x14ac:dyDescent="0.25">
      <c r="A483" s="60" t="s">
        <v>88</v>
      </c>
      <c r="B483" s="60"/>
      <c r="C483" s="60"/>
      <c r="D483" s="61">
        <f>F441</f>
      </c>
      <c r="E483" s="59">
        <f>E482*F441</f>
      </c>
    </row>
    <row r="484" ht="30" customHeight="1" spans="1:6" x14ac:dyDescent="0.25">
      <c r="A484" s="62" t="s">
        <v>89</v>
      </c>
      <c r="B484" s="62"/>
      <c r="C484" s="62"/>
      <c r="D484" s="62"/>
      <c r="E484" s="62"/>
      <c r="F484" s="62"/>
    </row>
    <row r="485" ht="10" customHeight="1" spans="1:6" x14ac:dyDescent="0.25">
      <c r="A485" s="3"/>
      <c r="B485" s="3"/>
      <c r="C485" s="3"/>
      <c r="D485" s="3"/>
      <c r="E485" s="3"/>
      <c r="F485" s="3"/>
    </row>
    <row r="486" ht="26" customHeight="1" spans="1:6" x14ac:dyDescent="0.25">
      <c r="A486" s="21" t="s">
        <v>101</v>
      </c>
      <c r="B486" s="21"/>
      <c r="C486" s="21"/>
      <c r="D486" s="21"/>
      <c r="E486" s="22" t="s">
        <v>94</v>
      </c>
      <c r="F486" s="17">
        <f>$C$20</f>
      </c>
    </row>
    <row r="487" ht="16" customHeight="1" spans="1:6" x14ac:dyDescent="0.25">
      <c r="A487" s="23" t="s">
        <v>3</v>
      </c>
      <c r="B487" s="24" t="s">
        <v>49</v>
      </c>
      <c r="C487" s="25" t="s">
        <v>50</v>
      </c>
      <c r="D487" s="25" t="s">
        <v>51</v>
      </c>
      <c r="E487" s="25" t="s">
        <v>52</v>
      </c>
      <c r="F487" s="25" t="s">
        <v>53</v>
      </c>
    </row>
    <row r="488" ht="18" customHeight="1" spans="2:6" x14ac:dyDescent="0.25">
      <c r="B488" s="9" t="s">
        <v>54</v>
      </c>
      <c r="E488" s="26">
        <f>C$6</f>
      </c>
      <c r="F488" s="27" t="s">
        <v>55</v>
      </c>
    </row>
    <row r="489" ht="18" customHeight="1" spans="2:6" x14ac:dyDescent="0.25">
      <c r="B489" s="12" t="s">
        <v>56</v>
      </c>
      <c r="C489" s="7">
        <f>C$11</f>
      </c>
      <c r="D489" s="28" t="s">
        <v>57</v>
      </c>
      <c r="E489" s="26">
        <f>C489</f>
      </c>
      <c r="F489" s="27" t="s">
        <v>55</v>
      </c>
    </row>
    <row r="490" ht="18" customHeight="1" spans="2:6" x14ac:dyDescent="0.25">
      <c r="B490" s="12" t="s">
        <v>32</v>
      </c>
      <c r="C490" s="29">
        <v>0</v>
      </c>
      <c r="D490" s="30">
        <f>C$24</f>
      </c>
      <c r="E490" s="26">
        <f>C490*D490</f>
      </c>
      <c r="F490" s="27" t="s">
        <v>55</v>
      </c>
    </row>
    <row r="491" ht="18" customHeight="1" spans="2:6" x14ac:dyDescent="0.25">
      <c r="B491" s="12" t="s">
        <v>34</v>
      </c>
      <c r="C491" s="29">
        <v>0</v>
      </c>
      <c r="D491" s="30">
        <f>C$25</f>
      </c>
      <c r="E491" s="26">
        <f>C491*D491</f>
      </c>
      <c r="F491" s="27" t="s">
        <v>55</v>
      </c>
    </row>
    <row r="492" ht="18" customHeight="1" spans="2:6" x14ac:dyDescent="0.25">
      <c r="B492" s="12" t="s">
        <v>35</v>
      </c>
      <c r="C492" s="29">
        <v>0</v>
      </c>
      <c r="D492" s="30">
        <f>C$26</f>
      </c>
      <c r="E492" s="26">
        <f>C492*D492</f>
      </c>
      <c r="F492" s="27" t="s">
        <v>55</v>
      </c>
    </row>
    <row r="493" ht="18" customHeight="1" spans="2:6" x14ac:dyDescent="0.25">
      <c r="B493" s="12" t="s">
        <v>36</v>
      </c>
      <c r="C493" s="29">
        <v>0</v>
      </c>
      <c r="D493" s="30">
        <f>C$27</f>
      </c>
      <c r="E493" s="26">
        <f>C493*D493</f>
      </c>
      <c r="F493" s="27" t="s">
        <v>55</v>
      </c>
    </row>
    <row r="494" ht="18" customHeight="1" spans="2:6" x14ac:dyDescent="0.25">
      <c r="B494" s="12" t="s">
        <v>37</v>
      </c>
      <c r="C494" s="29">
        <v>0</v>
      </c>
      <c r="D494" s="30">
        <f>C$28</f>
      </c>
      <c r="E494" s="26">
        <f>C494*D494</f>
      </c>
      <c r="F494" s="27" t="s">
        <v>55</v>
      </c>
    </row>
    <row r="495" ht="18" customHeight="1" spans="2:6" x14ac:dyDescent="0.25">
      <c r="B495" s="12" t="s">
        <v>38</v>
      </c>
      <c r="C495" s="29">
        <v>0</v>
      </c>
      <c r="D495" s="30">
        <f>C$29</f>
      </c>
      <c r="E495" s="26">
        <f>C495*D495</f>
      </c>
      <c r="F495" s="31" t="s">
        <v>58</v>
      </c>
    </row>
    <row r="496" ht="18" customHeight="1" spans="2:6" x14ac:dyDescent="0.25">
      <c r="B496" s="12" t="s">
        <v>40</v>
      </c>
      <c r="C496" s="29">
        <v>0</v>
      </c>
      <c r="D496" s="30">
        <f>C$30</f>
      </c>
      <c r="E496" s="26">
        <f>C496*D496</f>
      </c>
      <c r="F496" s="31" t="s">
        <v>58</v>
      </c>
    </row>
    <row r="497" ht="18" customHeight="1" spans="2:6" x14ac:dyDescent="0.25">
      <c r="B497" s="12" t="s">
        <v>59</v>
      </c>
      <c r="C497" s="29">
        <v>0</v>
      </c>
      <c r="D497" s="30">
        <f>C$33</f>
      </c>
      <c r="E497" s="26">
        <f>C497*D497</f>
      </c>
      <c r="F497" s="31" t="s">
        <v>58</v>
      </c>
    </row>
    <row r="498" ht="16" customHeight="1" spans="1:6" x14ac:dyDescent="0.25">
      <c r="A498" s="32" t="s">
        <v>60</v>
      </c>
      <c r="B498" s="32"/>
      <c r="C498" s="32"/>
      <c r="D498" s="32"/>
      <c r="E498" s="32"/>
      <c r="F498" s="32"/>
    </row>
    <row r="499" ht="18" customHeight="1" spans="2:6" x14ac:dyDescent="0.25">
      <c r="B499" s="12" t="s">
        <v>41</v>
      </c>
      <c r="C499" s="29">
        <v>0</v>
      </c>
      <c r="D499" s="30">
        <f>C$31</f>
      </c>
      <c r="E499" s="26">
        <f>C499*D499</f>
      </c>
      <c r="F499" s="27" t="s">
        <v>61</v>
      </c>
    </row>
    <row r="500" ht="18" customHeight="1" spans="2:6" x14ac:dyDescent="0.25">
      <c r="B500" s="12" t="s">
        <v>43</v>
      </c>
      <c r="C500" s="29">
        <v>0</v>
      </c>
      <c r="D500" s="30">
        <f>C$32</f>
      </c>
      <c r="E500" s="26">
        <f>C500*D500</f>
      </c>
      <c r="F500" s="27" t="s">
        <v>61</v>
      </c>
    </row>
    <row r="501" ht="16" customHeight="1" spans="1:6" x14ac:dyDescent="0.25">
      <c r="A501" s="33" t="s">
        <v>62</v>
      </c>
      <c r="B501" s="33"/>
      <c r="C501" s="33"/>
      <c r="D501" s="33"/>
      <c r="E501" s="33"/>
      <c r="F501" s="33"/>
    </row>
    <row r="502" ht="18" customHeight="1" spans="2:6" x14ac:dyDescent="0.25">
      <c r="B502" s="12" t="s">
        <v>63</v>
      </c>
      <c r="C502" s="7">
        <v>0</v>
      </c>
      <c r="D502" s="28" t="s">
        <v>57</v>
      </c>
      <c r="E502" s="34">
        <f>C502</f>
      </c>
      <c r="F502" s="35" t="s">
        <v>64</v>
      </c>
    </row>
    <row r="503" ht="18" customHeight="1" spans="2:6" x14ac:dyDescent="0.25">
      <c r="B503" s="12" t="s">
        <v>65</v>
      </c>
      <c r="C503" s="7">
        <v>0</v>
      </c>
      <c r="D503" s="28" t="s">
        <v>57</v>
      </c>
      <c r="E503" s="34">
        <f>C503</f>
      </c>
      <c r="F503" s="35" t="s">
        <v>64</v>
      </c>
    </row>
    <row r="504" ht="18" customHeight="1" spans="2:6" x14ac:dyDescent="0.25">
      <c r="B504" s="12" t="s">
        <v>66</v>
      </c>
      <c r="C504" s="29">
        <v>0</v>
      </c>
      <c r="D504" s="30">
        <f>C$34</f>
      </c>
      <c r="E504" s="34">
        <f>C504*D504</f>
      </c>
      <c r="F504" s="35" t="s">
        <v>64</v>
      </c>
    </row>
    <row r="505" ht="3" customHeight="1" spans="1:6" x14ac:dyDescent="0.25">
      <c r="A505" s="36"/>
      <c r="B505" s="36"/>
      <c r="C505" s="36"/>
      <c r="D505" s="36"/>
      <c r="E505" s="36"/>
      <c r="F505" s="36"/>
    </row>
    <row r="506" ht="20" customHeight="1" spans="1:5" x14ac:dyDescent="0.25">
      <c r="A506" s="37" t="s">
        <v>67</v>
      </c>
      <c r="B506" s="37"/>
      <c r="C506" s="37"/>
      <c r="D506" s="37"/>
      <c r="E506" s="38">
        <f>E488+E489+E490+E491+E492+E493+E494+E495+E496+E497+E499+E500</f>
      </c>
    </row>
    <row r="507" ht="20" customHeight="1" spans="1:5" x14ac:dyDescent="0.25">
      <c r="A507" s="39" t="s">
        <v>68</v>
      </c>
      <c r="B507" s="39"/>
      <c r="C507" s="39"/>
      <c r="D507" s="39"/>
      <c r="E507" s="34">
        <f>E502+E503+E504</f>
      </c>
    </row>
    <row r="508" ht="20" customHeight="1" spans="1:5" x14ac:dyDescent="0.25">
      <c r="A508" s="40" t="s">
        <v>69</v>
      </c>
      <c r="B508" s="40"/>
      <c r="C508" s="40"/>
      <c r="D508" s="40"/>
      <c r="E508" s="41">
        <f>E499+E500</f>
      </c>
    </row>
    <row r="509" ht="3" customHeight="1" spans="1:6" x14ac:dyDescent="0.25">
      <c r="A509" s="36"/>
      <c r="B509" s="36"/>
      <c r="C509" s="36"/>
      <c r="D509" s="36"/>
      <c r="E509" s="36"/>
      <c r="F509" s="36"/>
    </row>
    <row r="510" ht="16" customHeight="1" spans="1:6" x14ac:dyDescent="0.25">
      <c r="A510" s="42" t="s">
        <v>70</v>
      </c>
      <c r="B510" s="42"/>
      <c r="C510" s="42"/>
      <c r="D510" s="42"/>
      <c r="E510" s="42"/>
      <c r="F510" s="42"/>
    </row>
    <row r="511" ht="20" customHeight="1" spans="1:6" x14ac:dyDescent="0.25">
      <c r="A511" s="43" t="s">
        <v>71</v>
      </c>
      <c r="B511" s="43"/>
      <c r="C511" s="43"/>
      <c r="D511" s="43"/>
      <c r="E511" s="44">
        <f>E488+E489+E490+E491+E492+E493+E494+E495+E496+E497+C$10</f>
      </c>
      <c r="F511" s="45" t="s">
        <v>33</v>
      </c>
    </row>
    <row r="512" ht="20" customHeight="1" spans="1:6" x14ac:dyDescent="0.25">
      <c r="A512" s="43" t="s">
        <v>72</v>
      </c>
      <c r="B512" s="43"/>
      <c r="C512" s="43"/>
      <c r="D512" s="43"/>
      <c r="E512" s="44">
        <f>E511+E508</f>
      </c>
      <c r="F512" s="45" t="s">
        <v>73</v>
      </c>
    </row>
    <row r="513" ht="20" customHeight="1" spans="1:5" x14ac:dyDescent="0.25">
      <c r="A513" s="46" t="s">
        <v>74</v>
      </c>
      <c r="B513" s="46"/>
      <c r="C513" s="46"/>
      <c r="D513" s="47">
        <f>C$15</f>
      </c>
      <c r="E513" s="48">
        <f>E511*C$15</f>
      </c>
    </row>
    <row r="514" ht="20" customHeight="1" spans="1:5" x14ac:dyDescent="0.25">
      <c r="A514" s="46" t="s">
        <v>75</v>
      </c>
      <c r="B514" s="46"/>
      <c r="C514" s="46"/>
      <c r="D514" s="47">
        <f>C$16</f>
      </c>
      <c r="E514" s="48">
        <f>E512*C$16</f>
      </c>
    </row>
    <row r="515" ht="20" customHeight="1" spans="1:5" x14ac:dyDescent="0.25">
      <c r="A515" s="46" t="s">
        <v>76</v>
      </c>
      <c r="B515" s="46"/>
      <c r="C515" s="46"/>
      <c r="D515" s="47">
        <f>C$17</f>
      </c>
      <c r="E515" s="48">
        <f>E508*C$17</f>
      </c>
    </row>
    <row r="516" ht="20" customHeight="1" spans="1:5" x14ac:dyDescent="0.25">
      <c r="A516" s="46" t="s">
        <v>77</v>
      </c>
      <c r="B516" s="46"/>
      <c r="C516" s="46"/>
      <c r="D516" s="47">
        <f>C$18</f>
      </c>
      <c r="E516" s="48">
        <f>E512*C$18</f>
      </c>
    </row>
    <row r="517" ht="20" customHeight="1" spans="1:5" x14ac:dyDescent="0.25">
      <c r="A517" s="49" t="s">
        <v>78</v>
      </c>
      <c r="B517" s="49"/>
      <c r="C517" s="49"/>
      <c r="D517" s="49"/>
      <c r="E517" s="50">
        <f>E513+E514+E515+E516</f>
      </c>
    </row>
    <row r="518" ht="3" customHeight="1" spans="1:6" x14ac:dyDescent="0.25">
      <c r="A518" s="36"/>
      <c r="B518" s="36"/>
      <c r="C518" s="36"/>
      <c r="D518" s="36"/>
      <c r="E518" s="36"/>
      <c r="F518" s="36"/>
    </row>
    <row r="519" ht="22" customHeight="1" spans="1:5" x14ac:dyDescent="0.25">
      <c r="A519" s="51" t="s">
        <v>79</v>
      </c>
      <c r="B519" s="51"/>
      <c r="C519" s="51"/>
      <c r="D519" s="47">
        <f>F486</f>
      </c>
      <c r="E519" s="48">
        <f>E506*F486</f>
      </c>
    </row>
    <row r="520" ht="3" customHeight="1" spans="1:6" x14ac:dyDescent="0.25">
      <c r="A520" s="36"/>
      <c r="B520" s="36"/>
      <c r="C520" s="36"/>
      <c r="D520" s="36"/>
      <c r="E520" s="36"/>
      <c r="F520" s="36"/>
    </row>
    <row r="521" ht="30" customHeight="1" spans="1:6" x14ac:dyDescent="0.25">
      <c r="A521" s="52" t="s">
        <v>80</v>
      </c>
      <c r="B521" s="52"/>
      <c r="C521" s="52"/>
      <c r="D521" s="52"/>
      <c r="E521" s="53">
        <f>E506+E507-E517-E519</f>
      </c>
      <c r="F521" s="54" t="s">
        <v>81</v>
      </c>
    </row>
    <row r="522" ht="18" customHeight="1" spans="1:6" x14ac:dyDescent="0.25">
      <c r="A522" s="55" t="s">
        <v>82</v>
      </c>
      <c r="B522" s="55"/>
      <c r="C522" s="55"/>
      <c r="D522" s="55"/>
      <c r="E522" s="55"/>
      <c r="F522" s="55"/>
    </row>
    <row r="523" ht="18" customHeight="1" spans="1:5" x14ac:dyDescent="0.25">
      <c r="A523" s="56" t="s">
        <v>83</v>
      </c>
      <c r="B523" s="56"/>
      <c r="C523" s="56"/>
      <c r="D523" s="56"/>
      <c r="E523" s="57">
        <f>(C$6/30)*C497</f>
      </c>
    </row>
    <row r="524" ht="18" customHeight="1" spans="1:5" x14ac:dyDescent="0.25">
      <c r="A524" s="56" t="s">
        <v>84</v>
      </c>
      <c r="B524" s="56"/>
      <c r="C524" s="56"/>
      <c r="D524" s="56"/>
      <c r="E524" s="57">
        <f>E495</f>
      </c>
    </row>
    <row r="525" ht="18" customHeight="1" spans="1:5" x14ac:dyDescent="0.25">
      <c r="A525" s="56" t="s">
        <v>85</v>
      </c>
      <c r="B525" s="56"/>
      <c r="C525" s="56"/>
      <c r="D525" s="56"/>
      <c r="E525" s="57">
        <f>E496</f>
      </c>
    </row>
    <row r="526" ht="18" customHeight="1" spans="1:5" x14ac:dyDescent="0.25">
      <c r="A526" s="56" t="s">
        <v>86</v>
      </c>
      <c r="B526" s="56"/>
      <c r="C526" s="56"/>
      <c r="D526" s="56"/>
      <c r="E526" s="57">
        <f>E497</f>
      </c>
    </row>
    <row r="527" ht="22" customHeight="1" spans="1:5" x14ac:dyDescent="0.25">
      <c r="A527" s="58" t="s">
        <v>87</v>
      </c>
      <c r="B527" s="58"/>
      <c r="C527" s="58"/>
      <c r="D527" s="58"/>
      <c r="E527" s="59">
        <f>(C$6/30)*C497+E495+E496+E497</f>
      </c>
    </row>
    <row r="528" ht="22" customHeight="1" spans="1:5" x14ac:dyDescent="0.25">
      <c r="A528" s="60" t="s">
        <v>88</v>
      </c>
      <c r="B528" s="60"/>
      <c r="C528" s="60"/>
      <c r="D528" s="61">
        <f>F486</f>
      </c>
      <c r="E528" s="59">
        <f>E527*F486</f>
      </c>
    </row>
    <row r="529" ht="30" customHeight="1" spans="1:6" x14ac:dyDescent="0.25">
      <c r="A529" s="62" t="s">
        <v>89</v>
      </c>
      <c r="B529" s="62"/>
      <c r="C529" s="62"/>
      <c r="D529" s="62"/>
      <c r="E529" s="62"/>
      <c r="F529" s="62"/>
    </row>
    <row r="530" ht="10" customHeight="1" spans="1:6" x14ac:dyDescent="0.25">
      <c r="A530" s="3"/>
      <c r="B530" s="3"/>
      <c r="C530" s="3"/>
      <c r="D530" s="3"/>
      <c r="E530" s="3"/>
      <c r="F530" s="3"/>
    </row>
    <row r="531" ht="26" customHeight="1" spans="1:6" x14ac:dyDescent="0.25">
      <c r="A531" s="21" t="s">
        <v>102</v>
      </c>
      <c r="B531" s="21"/>
      <c r="C531" s="21"/>
      <c r="D531" s="21"/>
      <c r="E531" s="22" t="s">
        <v>48</v>
      </c>
      <c r="F531" s="17">
        <f>$C$20</f>
      </c>
    </row>
    <row r="532" ht="16" customHeight="1" spans="1:6" x14ac:dyDescent="0.25">
      <c r="A532" s="23" t="s">
        <v>3</v>
      </c>
      <c r="B532" s="24" t="s">
        <v>49</v>
      </c>
      <c r="C532" s="25" t="s">
        <v>50</v>
      </c>
      <c r="D532" s="25" t="s">
        <v>51</v>
      </c>
      <c r="E532" s="25" t="s">
        <v>52</v>
      </c>
      <c r="F532" s="25" t="s">
        <v>53</v>
      </c>
    </row>
    <row r="533" ht="18" customHeight="1" spans="2:6" x14ac:dyDescent="0.25">
      <c r="B533" s="9" t="s">
        <v>54</v>
      </c>
      <c r="E533" s="26">
        <f>C$6</f>
      </c>
      <c r="F533" s="27" t="s">
        <v>55</v>
      </c>
    </row>
    <row r="534" ht="18" customHeight="1" spans="2:6" x14ac:dyDescent="0.25">
      <c r="B534" s="12" t="s">
        <v>56</v>
      </c>
      <c r="C534" s="7">
        <f>C$11</f>
      </c>
      <c r="D534" s="28" t="s">
        <v>57</v>
      </c>
      <c r="E534" s="26">
        <f>C534</f>
      </c>
      <c r="F534" s="27" t="s">
        <v>55</v>
      </c>
    </row>
    <row r="535" ht="18" customHeight="1" spans="2:6" x14ac:dyDescent="0.25">
      <c r="B535" s="12" t="s">
        <v>32</v>
      </c>
      <c r="C535" s="29">
        <v>0</v>
      </c>
      <c r="D535" s="30">
        <f>C$24</f>
      </c>
      <c r="E535" s="26">
        <f>C535*D535</f>
      </c>
      <c r="F535" s="27" t="s">
        <v>55</v>
      </c>
    </row>
    <row r="536" ht="18" customHeight="1" spans="2:6" x14ac:dyDescent="0.25">
      <c r="B536" s="12" t="s">
        <v>34</v>
      </c>
      <c r="C536" s="29">
        <v>0</v>
      </c>
      <c r="D536" s="30">
        <f>C$25</f>
      </c>
      <c r="E536" s="26">
        <f>C536*D536</f>
      </c>
      <c r="F536" s="27" t="s">
        <v>55</v>
      </c>
    </row>
    <row r="537" ht="18" customHeight="1" spans="2:6" x14ac:dyDescent="0.25">
      <c r="B537" s="12" t="s">
        <v>35</v>
      </c>
      <c r="C537" s="29">
        <v>0</v>
      </c>
      <c r="D537" s="30">
        <f>C$26</f>
      </c>
      <c r="E537" s="26">
        <f>C537*D537</f>
      </c>
      <c r="F537" s="27" t="s">
        <v>55</v>
      </c>
    </row>
    <row r="538" ht="18" customHeight="1" spans="2:6" x14ac:dyDescent="0.25">
      <c r="B538" s="12" t="s">
        <v>36</v>
      </c>
      <c r="C538" s="29">
        <v>0</v>
      </c>
      <c r="D538" s="30">
        <f>C$27</f>
      </c>
      <c r="E538" s="26">
        <f>C538*D538</f>
      </c>
      <c r="F538" s="27" t="s">
        <v>55</v>
      </c>
    </row>
    <row r="539" ht="18" customHeight="1" spans="2:6" x14ac:dyDescent="0.25">
      <c r="B539" s="12" t="s">
        <v>37</v>
      </c>
      <c r="C539" s="29">
        <v>0</v>
      </c>
      <c r="D539" s="30">
        <f>C$28</f>
      </c>
      <c r="E539" s="26">
        <f>C539*D539</f>
      </c>
      <c r="F539" s="27" t="s">
        <v>55</v>
      </c>
    </row>
    <row r="540" ht="18" customHeight="1" spans="2:6" x14ac:dyDescent="0.25">
      <c r="B540" s="12" t="s">
        <v>38</v>
      </c>
      <c r="C540" s="29">
        <v>0</v>
      </c>
      <c r="D540" s="30">
        <f>C$29</f>
      </c>
      <c r="E540" s="26">
        <f>C540*D540</f>
      </c>
      <c r="F540" s="31" t="s">
        <v>58</v>
      </c>
    </row>
    <row r="541" ht="18" customHeight="1" spans="2:6" x14ac:dyDescent="0.25">
      <c r="B541" s="12" t="s">
        <v>40</v>
      </c>
      <c r="C541" s="29">
        <v>0</v>
      </c>
      <c r="D541" s="30">
        <f>C$30</f>
      </c>
      <c r="E541" s="26">
        <f>C541*D541</f>
      </c>
      <c r="F541" s="31" t="s">
        <v>58</v>
      </c>
    </row>
    <row r="542" ht="18" customHeight="1" spans="2:6" x14ac:dyDescent="0.25">
      <c r="B542" s="12" t="s">
        <v>59</v>
      </c>
      <c r="C542" s="29">
        <v>0</v>
      </c>
      <c r="D542" s="30">
        <f>C$33</f>
      </c>
      <c r="E542" s="26">
        <f>C542*D542</f>
      </c>
      <c r="F542" s="31" t="s">
        <v>58</v>
      </c>
    </row>
    <row r="543" ht="16" customHeight="1" spans="1:6" x14ac:dyDescent="0.25">
      <c r="A543" s="32" t="s">
        <v>60</v>
      </c>
      <c r="B543" s="32"/>
      <c r="C543" s="32"/>
      <c r="D543" s="32"/>
      <c r="E543" s="32"/>
      <c r="F543" s="32"/>
    </row>
    <row r="544" ht="18" customHeight="1" spans="2:6" x14ac:dyDescent="0.25">
      <c r="B544" s="12" t="s">
        <v>41</v>
      </c>
      <c r="C544" s="29">
        <v>0</v>
      </c>
      <c r="D544" s="30">
        <f>C$31</f>
      </c>
      <c r="E544" s="26">
        <f>C544*D544</f>
      </c>
      <c r="F544" s="27" t="s">
        <v>61</v>
      </c>
    </row>
    <row r="545" ht="18" customHeight="1" spans="2:6" x14ac:dyDescent="0.25">
      <c r="B545" s="12" t="s">
        <v>43</v>
      </c>
      <c r="C545" s="29">
        <v>0</v>
      </c>
      <c r="D545" s="30">
        <f>C$32</f>
      </c>
      <c r="E545" s="26">
        <f>C545*D545</f>
      </c>
      <c r="F545" s="27" t="s">
        <v>61</v>
      </c>
    </row>
    <row r="546" ht="16" customHeight="1" spans="1:6" x14ac:dyDescent="0.25">
      <c r="A546" s="33" t="s">
        <v>62</v>
      </c>
      <c r="B546" s="33"/>
      <c r="C546" s="33"/>
      <c r="D546" s="33"/>
      <c r="E546" s="33"/>
      <c r="F546" s="33"/>
    </row>
    <row r="547" ht="18" customHeight="1" spans="2:6" x14ac:dyDescent="0.25">
      <c r="B547" s="12" t="s">
        <v>63</v>
      </c>
      <c r="C547" s="7">
        <v>0</v>
      </c>
      <c r="D547" s="28" t="s">
        <v>57</v>
      </c>
      <c r="E547" s="34">
        <f>C547</f>
      </c>
      <c r="F547" s="35" t="s">
        <v>64</v>
      </c>
    </row>
    <row r="548" ht="18" customHeight="1" spans="2:6" x14ac:dyDescent="0.25">
      <c r="B548" s="12" t="s">
        <v>65</v>
      </c>
      <c r="C548" s="7">
        <v>0</v>
      </c>
      <c r="D548" s="28" t="s">
        <v>57</v>
      </c>
      <c r="E548" s="34">
        <f>C548</f>
      </c>
      <c r="F548" s="35" t="s">
        <v>64</v>
      </c>
    </row>
    <row r="549" ht="18" customHeight="1" spans="2:6" x14ac:dyDescent="0.25">
      <c r="B549" s="12" t="s">
        <v>66</v>
      </c>
      <c r="C549" s="29">
        <v>0</v>
      </c>
      <c r="D549" s="30">
        <f>C$34</f>
      </c>
      <c r="E549" s="34">
        <f>C549*D549</f>
      </c>
      <c r="F549" s="35" t="s">
        <v>64</v>
      </c>
    </row>
    <row r="550" ht="3" customHeight="1" spans="1:6" x14ac:dyDescent="0.25">
      <c r="A550" s="36"/>
      <c r="B550" s="36"/>
      <c r="C550" s="36"/>
      <c r="D550" s="36"/>
      <c r="E550" s="36"/>
      <c r="F550" s="36"/>
    </row>
    <row r="551" ht="20" customHeight="1" spans="1:5" x14ac:dyDescent="0.25">
      <c r="A551" s="37" t="s">
        <v>67</v>
      </c>
      <c r="B551" s="37"/>
      <c r="C551" s="37"/>
      <c r="D551" s="37"/>
      <c r="E551" s="38">
        <f>E533+E534+E535+E536+E537+E538+E539+E540+E541+E542+E544+E545</f>
      </c>
    </row>
    <row r="552" ht="20" customHeight="1" spans="1:5" x14ac:dyDescent="0.25">
      <c r="A552" s="39" t="s">
        <v>68</v>
      </c>
      <c r="B552" s="39"/>
      <c r="C552" s="39"/>
      <c r="D552" s="39"/>
      <c r="E552" s="34">
        <f>E547+E548+E549</f>
      </c>
    </row>
    <row r="553" ht="20" customHeight="1" spans="1:5" x14ac:dyDescent="0.25">
      <c r="A553" s="40" t="s">
        <v>69</v>
      </c>
      <c r="B553" s="40"/>
      <c r="C553" s="40"/>
      <c r="D553" s="40"/>
      <c r="E553" s="41">
        <f>E544+E545</f>
      </c>
    </row>
    <row r="554" ht="3" customHeight="1" spans="1:6" x14ac:dyDescent="0.25">
      <c r="A554" s="36"/>
      <c r="B554" s="36"/>
      <c r="C554" s="36"/>
      <c r="D554" s="36"/>
      <c r="E554" s="36"/>
      <c r="F554" s="36"/>
    </row>
    <row r="555" ht="16" customHeight="1" spans="1:6" x14ac:dyDescent="0.25">
      <c r="A555" s="42" t="s">
        <v>70</v>
      </c>
      <c r="B555" s="42"/>
      <c r="C555" s="42"/>
      <c r="D555" s="42"/>
      <c r="E555" s="42"/>
      <c r="F555" s="42"/>
    </row>
    <row r="556" ht="20" customHeight="1" spans="1:6" x14ac:dyDescent="0.25">
      <c r="A556" s="43" t="s">
        <v>71</v>
      </c>
      <c r="B556" s="43"/>
      <c r="C556" s="43"/>
      <c r="D556" s="43"/>
      <c r="E556" s="44">
        <f>E533+E534+E535+E536+E537+E538+E539+E540+E541+E542+C$10</f>
      </c>
      <c r="F556" s="45" t="s">
        <v>33</v>
      </c>
    </row>
    <row r="557" ht="20" customHeight="1" spans="1:6" x14ac:dyDescent="0.25">
      <c r="A557" s="43" t="s">
        <v>72</v>
      </c>
      <c r="B557" s="43"/>
      <c r="C557" s="43"/>
      <c r="D557" s="43"/>
      <c r="E557" s="44">
        <f>E556+E553</f>
      </c>
      <c r="F557" s="45" t="s">
        <v>73</v>
      </c>
    </row>
    <row r="558" ht="20" customHeight="1" spans="1:5" x14ac:dyDescent="0.25">
      <c r="A558" s="46" t="s">
        <v>74</v>
      </c>
      <c r="B558" s="46"/>
      <c r="C558" s="46"/>
      <c r="D558" s="47">
        <f>C$15</f>
      </c>
      <c r="E558" s="48">
        <f>E556*C$15</f>
      </c>
    </row>
    <row r="559" ht="20" customHeight="1" spans="1:5" x14ac:dyDescent="0.25">
      <c r="A559" s="46" t="s">
        <v>75</v>
      </c>
      <c r="B559" s="46"/>
      <c r="C559" s="46"/>
      <c r="D559" s="47">
        <f>C$16</f>
      </c>
      <c r="E559" s="48">
        <f>E557*C$16</f>
      </c>
    </row>
    <row r="560" ht="20" customHeight="1" spans="1:5" x14ac:dyDescent="0.25">
      <c r="A560" s="46" t="s">
        <v>76</v>
      </c>
      <c r="B560" s="46"/>
      <c r="C560" s="46"/>
      <c r="D560" s="47">
        <f>C$17</f>
      </c>
      <c r="E560" s="48">
        <f>E553*C$17</f>
      </c>
    </row>
    <row r="561" ht="20" customHeight="1" spans="1:5" x14ac:dyDescent="0.25">
      <c r="A561" s="46" t="s">
        <v>77</v>
      </c>
      <c r="B561" s="46"/>
      <c r="C561" s="46"/>
      <c r="D561" s="47">
        <f>C$18</f>
      </c>
      <c r="E561" s="48">
        <f>E557*C$18</f>
      </c>
    </row>
    <row r="562" ht="20" customHeight="1" spans="1:5" x14ac:dyDescent="0.25">
      <c r="A562" s="49" t="s">
        <v>78</v>
      </c>
      <c r="B562" s="49"/>
      <c r="C562" s="49"/>
      <c r="D562" s="49"/>
      <c r="E562" s="50">
        <f>E558+E559+E560+E561</f>
      </c>
    </row>
    <row r="563" ht="3" customHeight="1" spans="1:6" x14ac:dyDescent="0.25">
      <c r="A563" s="36"/>
      <c r="B563" s="36"/>
      <c r="C563" s="36"/>
      <c r="D563" s="36"/>
      <c r="E563" s="36"/>
      <c r="F563" s="36"/>
    </row>
    <row r="564" ht="22" customHeight="1" spans="1:5" x14ac:dyDescent="0.25">
      <c r="A564" s="51" t="s">
        <v>79</v>
      </c>
      <c r="B564" s="51"/>
      <c r="C564" s="51"/>
      <c r="D564" s="47">
        <f>F531</f>
      </c>
      <c r="E564" s="48">
        <f>E551*F531</f>
      </c>
    </row>
    <row r="565" ht="3" customHeight="1" spans="1:6" x14ac:dyDescent="0.25">
      <c r="A565" s="36"/>
      <c r="B565" s="36"/>
      <c r="C565" s="36"/>
      <c r="D565" s="36"/>
      <c r="E565" s="36"/>
      <c r="F565" s="36"/>
    </row>
    <row r="566" ht="30" customHeight="1" spans="1:6" x14ac:dyDescent="0.25">
      <c r="A566" s="52" t="s">
        <v>80</v>
      </c>
      <c r="B566" s="52"/>
      <c r="C566" s="52"/>
      <c r="D566" s="52"/>
      <c r="E566" s="53">
        <f>E551+E552-E562-E564</f>
      </c>
      <c r="F566" s="54" t="s">
        <v>81</v>
      </c>
    </row>
    <row r="567" ht="18" customHeight="1" spans="1:6" x14ac:dyDescent="0.25">
      <c r="A567" s="55" t="s">
        <v>82</v>
      </c>
      <c r="B567" s="55"/>
      <c r="C567" s="55"/>
      <c r="D567" s="55"/>
      <c r="E567" s="55"/>
      <c r="F567" s="55"/>
    </row>
    <row r="568" ht="18" customHeight="1" spans="1:5" x14ac:dyDescent="0.25">
      <c r="A568" s="56" t="s">
        <v>83</v>
      </c>
      <c r="B568" s="56"/>
      <c r="C568" s="56"/>
      <c r="D568" s="56"/>
      <c r="E568" s="57">
        <f>(C$6/31)*C542</f>
      </c>
    </row>
    <row r="569" ht="18" customHeight="1" spans="1:5" x14ac:dyDescent="0.25">
      <c r="A569" s="56" t="s">
        <v>84</v>
      </c>
      <c r="B569" s="56"/>
      <c r="C569" s="56"/>
      <c r="D569" s="56"/>
      <c r="E569" s="57">
        <f>E540</f>
      </c>
    </row>
    <row r="570" ht="18" customHeight="1" spans="1:5" x14ac:dyDescent="0.25">
      <c r="A570" s="56" t="s">
        <v>85</v>
      </c>
      <c r="B570" s="56"/>
      <c r="C570" s="56"/>
      <c r="D570" s="56"/>
      <c r="E570" s="57">
        <f>E541</f>
      </c>
    </row>
    <row r="571" ht="18" customHeight="1" spans="1:5" x14ac:dyDescent="0.25">
      <c r="A571" s="56" t="s">
        <v>86</v>
      </c>
      <c r="B571" s="56"/>
      <c r="C571" s="56"/>
      <c r="D571" s="56"/>
      <c r="E571" s="57">
        <f>E542</f>
      </c>
    </row>
    <row r="572" ht="22" customHeight="1" spans="1:5" x14ac:dyDescent="0.25">
      <c r="A572" s="58" t="s">
        <v>87</v>
      </c>
      <c r="B572" s="58"/>
      <c r="C572" s="58"/>
      <c r="D572" s="58"/>
      <c r="E572" s="59">
        <f>(C$6/31)*C542+E540+E541+E542</f>
      </c>
    </row>
    <row r="573" ht="22" customHeight="1" spans="1:5" x14ac:dyDescent="0.25">
      <c r="A573" s="60" t="s">
        <v>88</v>
      </c>
      <c r="B573" s="60"/>
      <c r="C573" s="60"/>
      <c r="D573" s="61">
        <f>F531</f>
      </c>
      <c r="E573" s="59">
        <f>E572*F531</f>
      </c>
    </row>
    <row r="574" ht="30" customHeight="1" spans="1:6" x14ac:dyDescent="0.25">
      <c r="A574" s="62" t="s">
        <v>89</v>
      </c>
      <c r="B574" s="62"/>
      <c r="C574" s="62"/>
      <c r="D574" s="62"/>
      <c r="E574" s="62"/>
      <c r="F574" s="62"/>
    </row>
    <row r="575" ht="10" customHeight="1" spans="1:6" x14ac:dyDescent="0.25">
      <c r="A575" s="3"/>
      <c r="B575" s="3"/>
      <c r="C575" s="3"/>
      <c r="D575" s="3"/>
      <c r="E575" s="3"/>
      <c r="F575" s="3"/>
    </row>
    <row r="576" ht="24" customHeight="1" spans="1:6" x14ac:dyDescent="0.25">
      <c r="A576" s="63" t="s">
        <v>103</v>
      </c>
      <c r="B576" s="63"/>
      <c r="C576" s="63"/>
      <c r="D576" s="63"/>
      <c r="E576" s="63"/>
      <c r="F576" s="63"/>
    </row>
    <row r="577" ht="20" customHeight="1" spans="1:9" x14ac:dyDescent="0.25">
      <c r="A577" s="14" t="s">
        <v>3</v>
      </c>
      <c r="B577" s="15" t="s">
        <v>104</v>
      </c>
      <c r="C577" s="16" t="s">
        <v>105</v>
      </c>
      <c r="D577" s="16" t="s">
        <v>106</v>
      </c>
      <c r="E577" s="16" t="s">
        <v>107</v>
      </c>
      <c r="F577" s="16" t="s">
        <v>108</v>
      </c>
      <c r="G577" s="16" t="s">
        <v>109</v>
      </c>
      <c r="H577" s="64" t="s">
        <v>110</v>
      </c>
      <c r="I577" s="64" t="s">
        <v>111</v>
      </c>
    </row>
    <row r="578" ht="20" customHeight="1" spans="2:9" x14ac:dyDescent="0.25">
      <c r="B578" s="65" t="s">
        <v>112</v>
      </c>
      <c r="C578" s="66">
        <f>E56</f>
      </c>
      <c r="D578" s="67">
        <f>E67</f>
      </c>
      <c r="E578" s="67">
        <f>E69</f>
      </c>
      <c r="F578" s="68">
        <f>E57</f>
      </c>
      <c r="G578" s="69">
        <f>E71</f>
      </c>
      <c r="H578" s="59">
        <f>E77</f>
      </c>
      <c r="I578" s="59">
        <f>E78</f>
      </c>
    </row>
    <row r="579" ht="20" customHeight="1" spans="2:9" x14ac:dyDescent="0.25">
      <c r="B579" s="70" t="s">
        <v>113</v>
      </c>
      <c r="C579" s="71">
        <f>E101</f>
      </c>
      <c r="D579" s="72">
        <f>E112</f>
      </c>
      <c r="E579" s="72">
        <f>E114</f>
      </c>
      <c r="F579" s="73">
        <f>E102</f>
      </c>
      <c r="G579" s="74">
        <f>E116</f>
      </c>
      <c r="H579" s="75">
        <f>E122</f>
      </c>
      <c r="I579" s="75">
        <f>E123</f>
      </c>
    </row>
    <row r="580" ht="20" customHeight="1" spans="2:9" x14ac:dyDescent="0.25">
      <c r="B580" s="65" t="s">
        <v>114</v>
      </c>
      <c r="C580" s="66">
        <f>E146</f>
      </c>
      <c r="D580" s="67">
        <f>E157</f>
      </c>
      <c r="E580" s="67">
        <f>E159</f>
      </c>
      <c r="F580" s="68">
        <f>E147</f>
      </c>
      <c r="G580" s="69">
        <f>E161</f>
      </c>
      <c r="H580" s="59">
        <f>E167</f>
      </c>
      <c r="I580" s="59">
        <f>E168</f>
      </c>
    </row>
    <row r="581" ht="20" customHeight="1" spans="2:9" x14ac:dyDescent="0.25">
      <c r="B581" s="70" t="s">
        <v>115</v>
      </c>
      <c r="C581" s="71">
        <f>E191</f>
      </c>
      <c r="D581" s="72">
        <f>E202</f>
      </c>
      <c r="E581" s="72">
        <f>E204</f>
      </c>
      <c r="F581" s="73">
        <f>E192</f>
      </c>
      <c r="G581" s="74">
        <f>E206</f>
      </c>
      <c r="H581" s="75">
        <f>E212</f>
      </c>
      <c r="I581" s="75">
        <f>E213</f>
      </c>
    </row>
    <row r="582" ht="20" customHeight="1" spans="2:9" x14ac:dyDescent="0.25">
      <c r="B582" s="65" t="s">
        <v>116</v>
      </c>
      <c r="C582" s="66">
        <f>E236</f>
      </c>
      <c r="D582" s="67">
        <f>E247</f>
      </c>
      <c r="E582" s="67">
        <f>E249</f>
      </c>
      <c r="F582" s="68">
        <f>E237</f>
      </c>
      <c r="G582" s="69">
        <f>E251</f>
      </c>
      <c r="H582" s="59">
        <f>E257</f>
      </c>
      <c r="I582" s="59">
        <f>E258</f>
      </c>
    </row>
    <row r="583" ht="20" customHeight="1" spans="2:9" x14ac:dyDescent="0.25">
      <c r="B583" s="70" t="s">
        <v>117</v>
      </c>
      <c r="C583" s="71">
        <f>E281</f>
      </c>
      <c r="D583" s="72">
        <f>E292</f>
      </c>
      <c r="E583" s="72">
        <f>E294</f>
      </c>
      <c r="F583" s="73">
        <f>E282</f>
      </c>
      <c r="G583" s="74">
        <f>E296</f>
      </c>
      <c r="H583" s="75">
        <f>E302</f>
      </c>
      <c r="I583" s="75">
        <f>E303</f>
      </c>
    </row>
    <row r="584" ht="20" customHeight="1" spans="2:9" x14ac:dyDescent="0.25">
      <c r="B584" s="65" t="s">
        <v>118</v>
      </c>
      <c r="C584" s="66">
        <f>E326</f>
      </c>
      <c r="D584" s="67">
        <f>E337</f>
      </c>
      <c r="E584" s="67">
        <f>E339</f>
      </c>
      <c r="F584" s="68">
        <f>E327</f>
      </c>
      <c r="G584" s="69">
        <f>E341</f>
      </c>
      <c r="H584" s="59">
        <f>E347</f>
      </c>
      <c r="I584" s="59">
        <f>E348</f>
      </c>
    </row>
    <row r="585" ht="20" customHeight="1" spans="2:9" x14ac:dyDescent="0.25">
      <c r="B585" s="70" t="s">
        <v>119</v>
      </c>
      <c r="C585" s="71">
        <f>E371</f>
      </c>
      <c r="D585" s="72">
        <f>E382</f>
      </c>
      <c r="E585" s="72">
        <f>E384</f>
      </c>
      <c r="F585" s="73">
        <f>E372</f>
      </c>
      <c r="G585" s="74">
        <f>E386</f>
      </c>
      <c r="H585" s="75">
        <f>E392</f>
      </c>
      <c r="I585" s="75">
        <f>E393</f>
      </c>
    </row>
    <row r="586" ht="20" customHeight="1" spans="2:9" x14ac:dyDescent="0.25">
      <c r="B586" s="65" t="s">
        <v>120</v>
      </c>
      <c r="C586" s="66">
        <f>E416</f>
      </c>
      <c r="D586" s="67">
        <f>E427</f>
      </c>
      <c r="E586" s="67">
        <f>E429</f>
      </c>
      <c r="F586" s="68">
        <f>E417</f>
      </c>
      <c r="G586" s="69">
        <f>E431</f>
      </c>
      <c r="H586" s="59">
        <f>E437</f>
      </c>
      <c r="I586" s="59">
        <f>E438</f>
      </c>
    </row>
    <row r="587" ht="20" customHeight="1" spans="2:9" x14ac:dyDescent="0.25">
      <c r="B587" s="70" t="s">
        <v>121</v>
      </c>
      <c r="C587" s="71">
        <f>E461</f>
      </c>
      <c r="D587" s="72">
        <f>E472</f>
      </c>
      <c r="E587" s="72">
        <f>E474</f>
      </c>
      <c r="F587" s="73">
        <f>E462</f>
      </c>
      <c r="G587" s="74">
        <f>E476</f>
      </c>
      <c r="H587" s="75">
        <f>E482</f>
      </c>
      <c r="I587" s="75">
        <f>E483</f>
      </c>
    </row>
    <row r="588" ht="20" customHeight="1" spans="2:9" x14ac:dyDescent="0.25">
      <c r="B588" s="65" t="s">
        <v>122</v>
      </c>
      <c r="C588" s="66">
        <f>E506</f>
      </c>
      <c r="D588" s="67">
        <f>E517</f>
      </c>
      <c r="E588" s="67">
        <f>E519</f>
      </c>
      <c r="F588" s="68">
        <f>E507</f>
      </c>
      <c r="G588" s="69">
        <f>E521</f>
      </c>
      <c r="H588" s="59">
        <f>E527</f>
      </c>
      <c r="I588" s="59">
        <f>E528</f>
      </c>
    </row>
    <row r="589" ht="20" customHeight="1" spans="2:9" x14ac:dyDescent="0.25">
      <c r="B589" s="70" t="s">
        <v>123</v>
      </c>
      <c r="C589" s="71">
        <f>E551</f>
      </c>
      <c r="D589" s="72">
        <f>E562</f>
      </c>
      <c r="E589" s="72">
        <f>E564</f>
      </c>
      <c r="F589" s="73">
        <f>E552</f>
      </c>
      <c r="G589" s="74">
        <f>E566</f>
      </c>
      <c r="H589" s="75">
        <f>E572</f>
      </c>
      <c r="I589" s="75">
        <f>E573</f>
      </c>
    </row>
    <row r="590" ht="3" customHeight="1" spans="1:6" x14ac:dyDescent="0.25">
      <c r="A590" s="36"/>
      <c r="B590" s="36"/>
      <c r="C590" s="36"/>
      <c r="D590" s="36"/>
      <c r="E590" s="36"/>
      <c r="F590" s="36"/>
    </row>
    <row r="591" ht="26" customHeight="1" spans="1:9" x14ac:dyDescent="0.25">
      <c r="A591" s="4" t="s">
        <v>124</v>
      </c>
      <c r="B591" s="4"/>
      <c r="C591" s="76">
        <f>SUM(C578:C589)</f>
      </c>
      <c r="D591" s="76">
        <f>SUM(D578:D589)</f>
      </c>
      <c r="E591" s="76">
        <f>SUM(E578:E589)</f>
      </c>
      <c r="F591" s="76">
        <f>SUM(F578:F589)</f>
      </c>
      <c r="G591" s="53">
        <f>SUM(G578:G589)</f>
      </c>
      <c r="H591" s="77">
        <f>SUM(H578:H589)</f>
      </c>
      <c r="I591" s="77">
        <f>SUM(I578:I589)</f>
      </c>
    </row>
    <row r="592" ht="8" customHeight="1" spans="1:6" x14ac:dyDescent="0.25">
      <c r="A592" s="3"/>
      <c r="B592" s="3"/>
      <c r="C592" s="3"/>
      <c r="D592" s="3"/>
      <c r="E592" s="3"/>
      <c r="F592" s="3"/>
    </row>
    <row r="593" ht="38" customHeight="1" spans="1:9" x14ac:dyDescent="0.25">
      <c r="A593" s="78" t="s">
        <v>125</v>
      </c>
      <c r="B593" s="78"/>
      <c r="C593" s="78"/>
      <c r="D593" s="78"/>
      <c r="E593" s="78"/>
      <c r="F593" s="79">
        <f>SUM(G578:G589)</f>
      </c>
      <c r="G593" s="79"/>
      <c r="H593" s="79"/>
      <c r="I593" s="79"/>
    </row>
    <row r="594" ht="6" customHeight="1" spans="1:6" x14ac:dyDescent="0.25">
      <c r="A594" s="3"/>
      <c r="B594" s="3"/>
      <c r="C594" s="3"/>
      <c r="D594" s="3"/>
      <c r="E594" s="3"/>
      <c r="F594" s="3"/>
    </row>
    <row r="595" ht="28" customHeight="1" spans="1:9" x14ac:dyDescent="0.25">
      <c r="A595" s="80" t="s">
        <v>126</v>
      </c>
      <c r="B595" s="80"/>
      <c r="C595" s="80"/>
      <c r="D595" s="80"/>
      <c r="E595" s="80"/>
      <c r="F595" s="80"/>
      <c r="G595" s="80"/>
      <c r="H595" s="80"/>
      <c r="I595" s="80"/>
    </row>
    <row r="596" ht="22" customHeight="1" spans="1:9" x14ac:dyDescent="0.25">
      <c r="A596" s="81" t="s">
        <v>127</v>
      </c>
      <c r="B596" s="81"/>
      <c r="C596" s="81"/>
      <c r="D596" s="81"/>
      <c r="E596" s="81"/>
      <c r="F596" s="81"/>
      <c r="G596" s="82">
        <f>SUM(H578:H589)</f>
      </c>
      <c r="H596" s="82"/>
      <c r="I596" s="82"/>
    </row>
    <row r="597" ht="22" customHeight="1" spans="1:9" x14ac:dyDescent="0.25">
      <c r="A597" s="81" t="s">
        <v>128</v>
      </c>
      <c r="B597" s="81"/>
      <c r="C597" s="81"/>
      <c r="D597" s="81"/>
      <c r="E597" s="81"/>
      <c r="F597" s="81"/>
      <c r="G597" s="82">
        <v>60100</v>
      </c>
      <c r="H597" s="82"/>
      <c r="I597" s="82"/>
    </row>
    <row r="598" ht="22" customHeight="1" spans="1:9" x14ac:dyDescent="0.25">
      <c r="A598" s="81" t="s">
        <v>129</v>
      </c>
      <c r="B598" s="81"/>
      <c r="C598" s="81"/>
      <c r="D598" s="81"/>
      <c r="E598" s="81"/>
      <c r="F598" s="81"/>
      <c r="G598" s="82">
        <f>60100-SUM(H578:H589)</f>
      </c>
      <c r="H598" s="82"/>
      <c r="I598" s="82"/>
    </row>
    <row r="599" ht="32" customHeight="1" spans="1:9" x14ac:dyDescent="0.25">
      <c r="A599" s="83" t="s">
        <v>130</v>
      </c>
      <c r="B599" s="83"/>
      <c r="C599" s="83"/>
      <c r="D599" s="83"/>
      <c r="E599" s="83"/>
      <c r="F599" s="83"/>
      <c r="G599" s="84">
        <f>SUM(I578:I589)</f>
      </c>
      <c r="H599" s="84"/>
      <c r="I599" s="84"/>
    </row>
    <row r="600" ht="8" customHeight="1" spans="1:6" x14ac:dyDescent="0.25">
      <c r="A600" s="3"/>
      <c r="B600" s="3"/>
      <c r="C600" s="3"/>
      <c r="D600" s="3"/>
      <c r="E600" s="3"/>
      <c r="F600" s="3"/>
    </row>
    <row r="601" ht="36" customHeight="1" spans="1:9" x14ac:dyDescent="0.25">
      <c r="A601" s="85" t="s">
        <v>131</v>
      </c>
      <c r="B601" s="85"/>
      <c r="C601" s="85"/>
      <c r="D601" s="85"/>
      <c r="E601" s="85"/>
      <c r="F601" s="85"/>
      <c r="G601" s="85"/>
      <c r="H601" s="85"/>
      <c r="I601" s="85"/>
    </row>
  </sheetData>
  <mergeCells count="383">
    <mergeCell ref="A1:F1"/>
    <mergeCell ref="A2:F2"/>
    <mergeCell ref="A3:F3"/>
    <mergeCell ref="A4:F4"/>
    <mergeCell ref="D6:F6"/>
    <mergeCell ref="A8:F8"/>
    <mergeCell ref="D10:F10"/>
    <mergeCell ref="D11:F11"/>
    <mergeCell ref="A12:F12"/>
    <mergeCell ref="D15:F15"/>
    <mergeCell ref="D16:F16"/>
    <mergeCell ref="D17:F17"/>
    <mergeCell ref="D18:F18"/>
    <mergeCell ref="A19:F19"/>
    <mergeCell ref="D20:F20"/>
    <mergeCell ref="A21:F21"/>
    <mergeCell ref="A35:F35"/>
    <mergeCell ref="A36:D36"/>
    <mergeCell ref="A48:F48"/>
    <mergeCell ref="A51:F51"/>
    <mergeCell ref="A55:F55"/>
    <mergeCell ref="A56:D56"/>
    <mergeCell ref="A57:D57"/>
    <mergeCell ref="A58:D58"/>
    <mergeCell ref="A59:F59"/>
    <mergeCell ref="A60:F60"/>
    <mergeCell ref="A61:D61"/>
    <mergeCell ref="A62:D62"/>
    <mergeCell ref="A63:C63"/>
    <mergeCell ref="A64:C64"/>
    <mergeCell ref="A65:C65"/>
    <mergeCell ref="A66:C66"/>
    <mergeCell ref="A67:D67"/>
    <mergeCell ref="A68:F68"/>
    <mergeCell ref="A69:C69"/>
    <mergeCell ref="A70:F70"/>
    <mergeCell ref="A71:D71"/>
    <mergeCell ref="A72:F72"/>
    <mergeCell ref="A73:D73"/>
    <mergeCell ref="A74:D74"/>
    <mergeCell ref="A75:D75"/>
    <mergeCell ref="A76:D76"/>
    <mergeCell ref="A77:D77"/>
    <mergeCell ref="A78:C78"/>
    <mergeCell ref="A79:F79"/>
    <mergeCell ref="A80:F80"/>
    <mergeCell ref="A81:D81"/>
    <mergeCell ref="A93:F93"/>
    <mergeCell ref="A96:F96"/>
    <mergeCell ref="A100:F100"/>
    <mergeCell ref="A101:D101"/>
    <mergeCell ref="A102:D102"/>
    <mergeCell ref="A103:D103"/>
    <mergeCell ref="A104:F104"/>
    <mergeCell ref="A105:F105"/>
    <mergeCell ref="A106:D106"/>
    <mergeCell ref="A107:D107"/>
    <mergeCell ref="A108:C108"/>
    <mergeCell ref="A109:C109"/>
    <mergeCell ref="A110:C110"/>
    <mergeCell ref="A111:C111"/>
    <mergeCell ref="A112:D112"/>
    <mergeCell ref="A113:F113"/>
    <mergeCell ref="A114:C114"/>
    <mergeCell ref="A115:F115"/>
    <mergeCell ref="A116:D116"/>
    <mergeCell ref="A117:F117"/>
    <mergeCell ref="A118:D118"/>
    <mergeCell ref="A119:D119"/>
    <mergeCell ref="A120:D120"/>
    <mergeCell ref="A121:D121"/>
    <mergeCell ref="A122:D122"/>
    <mergeCell ref="A123:C123"/>
    <mergeCell ref="A124:F124"/>
    <mergeCell ref="A125:F125"/>
    <mergeCell ref="A126:D126"/>
    <mergeCell ref="A138:F138"/>
    <mergeCell ref="A141:F141"/>
    <mergeCell ref="A145:F145"/>
    <mergeCell ref="A146:D146"/>
    <mergeCell ref="A147:D147"/>
    <mergeCell ref="A148:D148"/>
    <mergeCell ref="A149:F149"/>
    <mergeCell ref="A150:F150"/>
    <mergeCell ref="A151:D151"/>
    <mergeCell ref="A152:D152"/>
    <mergeCell ref="A153:C153"/>
    <mergeCell ref="A154:C154"/>
    <mergeCell ref="A155:C155"/>
    <mergeCell ref="A156:C156"/>
    <mergeCell ref="A157:D157"/>
    <mergeCell ref="A158:F158"/>
    <mergeCell ref="A159:C159"/>
    <mergeCell ref="A160:F160"/>
    <mergeCell ref="A161:D161"/>
    <mergeCell ref="A162:F162"/>
    <mergeCell ref="A163:D163"/>
    <mergeCell ref="A164:D164"/>
    <mergeCell ref="A165:D165"/>
    <mergeCell ref="A166:D166"/>
    <mergeCell ref="A167:D167"/>
    <mergeCell ref="A168:C168"/>
    <mergeCell ref="A169:F169"/>
    <mergeCell ref="A170:F170"/>
    <mergeCell ref="A171:D171"/>
    <mergeCell ref="A183:F183"/>
    <mergeCell ref="A186:F186"/>
    <mergeCell ref="A190:F190"/>
    <mergeCell ref="A191:D191"/>
    <mergeCell ref="A192:D192"/>
    <mergeCell ref="A193:D193"/>
    <mergeCell ref="A194:F194"/>
    <mergeCell ref="A195:F195"/>
    <mergeCell ref="A196:D196"/>
    <mergeCell ref="A197:D197"/>
    <mergeCell ref="A198:C198"/>
    <mergeCell ref="A199:C199"/>
    <mergeCell ref="A200:C200"/>
    <mergeCell ref="A201:C201"/>
    <mergeCell ref="A202:D202"/>
    <mergeCell ref="A203:F203"/>
    <mergeCell ref="A204:C204"/>
    <mergeCell ref="A205:F205"/>
    <mergeCell ref="A206:D206"/>
    <mergeCell ref="A207:F207"/>
    <mergeCell ref="A208:D208"/>
    <mergeCell ref="A209:D209"/>
    <mergeCell ref="A210:D210"/>
    <mergeCell ref="A211:D211"/>
    <mergeCell ref="A212:D212"/>
    <mergeCell ref="A213:C213"/>
    <mergeCell ref="A214:F214"/>
    <mergeCell ref="A215:F215"/>
    <mergeCell ref="A216:D216"/>
    <mergeCell ref="A228:F228"/>
    <mergeCell ref="A231:F231"/>
    <mergeCell ref="A235:F235"/>
    <mergeCell ref="A236:D236"/>
    <mergeCell ref="A237:D237"/>
    <mergeCell ref="A238:D238"/>
    <mergeCell ref="A239:F239"/>
    <mergeCell ref="A240:F240"/>
    <mergeCell ref="A241:D241"/>
    <mergeCell ref="A242:D242"/>
    <mergeCell ref="A243:C243"/>
    <mergeCell ref="A244:C244"/>
    <mergeCell ref="A245:C245"/>
    <mergeCell ref="A246:C246"/>
    <mergeCell ref="A247:D247"/>
    <mergeCell ref="A248:F248"/>
    <mergeCell ref="A249:C249"/>
    <mergeCell ref="A250:F250"/>
    <mergeCell ref="A251:D251"/>
    <mergeCell ref="A252:F252"/>
    <mergeCell ref="A253:D253"/>
    <mergeCell ref="A254:D254"/>
    <mergeCell ref="A255:D255"/>
    <mergeCell ref="A256:D256"/>
    <mergeCell ref="A257:D257"/>
    <mergeCell ref="A258:C258"/>
    <mergeCell ref="A259:F259"/>
    <mergeCell ref="A260:F260"/>
    <mergeCell ref="A261:D261"/>
    <mergeCell ref="A273:F273"/>
    <mergeCell ref="A276:F276"/>
    <mergeCell ref="A280:F280"/>
    <mergeCell ref="A281:D281"/>
    <mergeCell ref="A282:D282"/>
    <mergeCell ref="A283:D283"/>
    <mergeCell ref="A284:F284"/>
    <mergeCell ref="A285:F285"/>
    <mergeCell ref="A286:D286"/>
    <mergeCell ref="A287:D287"/>
    <mergeCell ref="A288:C288"/>
    <mergeCell ref="A289:C289"/>
    <mergeCell ref="A290:C290"/>
    <mergeCell ref="A291:C291"/>
    <mergeCell ref="A292:D292"/>
    <mergeCell ref="A293:F293"/>
    <mergeCell ref="A294:C294"/>
    <mergeCell ref="A295:F295"/>
    <mergeCell ref="A296:D296"/>
    <mergeCell ref="A297:F297"/>
    <mergeCell ref="A298:D298"/>
    <mergeCell ref="A299:D299"/>
    <mergeCell ref="A300:D300"/>
    <mergeCell ref="A301:D301"/>
    <mergeCell ref="A302:D302"/>
    <mergeCell ref="A303:C303"/>
    <mergeCell ref="A304:F304"/>
    <mergeCell ref="A305:F305"/>
    <mergeCell ref="A306:D306"/>
    <mergeCell ref="A318:F318"/>
    <mergeCell ref="A321:F321"/>
    <mergeCell ref="A325:F325"/>
    <mergeCell ref="A326:D326"/>
    <mergeCell ref="A327:D327"/>
    <mergeCell ref="A328:D328"/>
    <mergeCell ref="A329:F329"/>
    <mergeCell ref="A330:F330"/>
    <mergeCell ref="A331:D331"/>
    <mergeCell ref="A332:D332"/>
    <mergeCell ref="A333:C333"/>
    <mergeCell ref="A334:C334"/>
    <mergeCell ref="A335:C335"/>
    <mergeCell ref="A336:C336"/>
    <mergeCell ref="A337:D337"/>
    <mergeCell ref="A338:F338"/>
    <mergeCell ref="A339:C339"/>
    <mergeCell ref="A340:F340"/>
    <mergeCell ref="A341:D341"/>
    <mergeCell ref="A342:F342"/>
    <mergeCell ref="A343:D343"/>
    <mergeCell ref="A344:D344"/>
    <mergeCell ref="A345:D345"/>
    <mergeCell ref="A346:D346"/>
    <mergeCell ref="A347:D347"/>
    <mergeCell ref="A348:C348"/>
    <mergeCell ref="A349:F349"/>
    <mergeCell ref="A350:F350"/>
    <mergeCell ref="A351:D351"/>
    <mergeCell ref="A363:F363"/>
    <mergeCell ref="A366:F366"/>
    <mergeCell ref="A370:F370"/>
    <mergeCell ref="A371:D371"/>
    <mergeCell ref="A372:D372"/>
    <mergeCell ref="A373:D373"/>
    <mergeCell ref="A374:F374"/>
    <mergeCell ref="A375:F375"/>
    <mergeCell ref="A376:D376"/>
    <mergeCell ref="A377:D377"/>
    <mergeCell ref="A378:C378"/>
    <mergeCell ref="A379:C379"/>
    <mergeCell ref="A380:C380"/>
    <mergeCell ref="A381:C381"/>
    <mergeCell ref="A382:D382"/>
    <mergeCell ref="A383:F383"/>
    <mergeCell ref="A384:C384"/>
    <mergeCell ref="A385:F385"/>
    <mergeCell ref="A386:D386"/>
    <mergeCell ref="A387:F387"/>
    <mergeCell ref="A388:D388"/>
    <mergeCell ref="A389:D389"/>
    <mergeCell ref="A390:D390"/>
    <mergeCell ref="A391:D391"/>
    <mergeCell ref="A392:D392"/>
    <mergeCell ref="A393:C393"/>
    <mergeCell ref="A394:F394"/>
    <mergeCell ref="A395:F395"/>
    <mergeCell ref="A396:D396"/>
    <mergeCell ref="A408:F408"/>
    <mergeCell ref="A411:F411"/>
    <mergeCell ref="A415:F415"/>
    <mergeCell ref="A416:D416"/>
    <mergeCell ref="A417:D417"/>
    <mergeCell ref="A418:D418"/>
    <mergeCell ref="A419:F419"/>
    <mergeCell ref="A420:F420"/>
    <mergeCell ref="A421:D421"/>
    <mergeCell ref="A422:D422"/>
    <mergeCell ref="A423:C423"/>
    <mergeCell ref="A424:C424"/>
    <mergeCell ref="A425:C425"/>
    <mergeCell ref="A426:C426"/>
    <mergeCell ref="A427:D427"/>
    <mergeCell ref="A428:F428"/>
    <mergeCell ref="A429:C429"/>
    <mergeCell ref="A430:F430"/>
    <mergeCell ref="A431:D431"/>
    <mergeCell ref="A432:F432"/>
    <mergeCell ref="A433:D433"/>
    <mergeCell ref="A434:D434"/>
    <mergeCell ref="A435:D435"/>
    <mergeCell ref="A436:D436"/>
    <mergeCell ref="A437:D437"/>
    <mergeCell ref="A438:C438"/>
    <mergeCell ref="A439:F439"/>
    <mergeCell ref="A440:F440"/>
    <mergeCell ref="A441:D441"/>
    <mergeCell ref="A453:F453"/>
    <mergeCell ref="A456:F456"/>
    <mergeCell ref="A460:F460"/>
    <mergeCell ref="A461:D461"/>
    <mergeCell ref="A462:D462"/>
    <mergeCell ref="A463:D463"/>
    <mergeCell ref="A464:F464"/>
    <mergeCell ref="A465:F465"/>
    <mergeCell ref="A466:D466"/>
    <mergeCell ref="A467:D467"/>
    <mergeCell ref="A468:C468"/>
    <mergeCell ref="A469:C469"/>
    <mergeCell ref="A470:C470"/>
    <mergeCell ref="A471:C471"/>
    <mergeCell ref="A472:D472"/>
    <mergeCell ref="A473:F473"/>
    <mergeCell ref="A474:C474"/>
    <mergeCell ref="A475:F475"/>
    <mergeCell ref="A476:D476"/>
    <mergeCell ref="A477:F477"/>
    <mergeCell ref="A478:D478"/>
    <mergeCell ref="A479:D479"/>
    <mergeCell ref="A480:D480"/>
    <mergeCell ref="A481:D481"/>
    <mergeCell ref="A482:D482"/>
    <mergeCell ref="A483:C483"/>
    <mergeCell ref="A484:F484"/>
    <mergeCell ref="A485:F485"/>
    <mergeCell ref="A486:D486"/>
    <mergeCell ref="A498:F498"/>
    <mergeCell ref="A501:F501"/>
    <mergeCell ref="A505:F505"/>
    <mergeCell ref="A506:D506"/>
    <mergeCell ref="A507:D507"/>
    <mergeCell ref="A508:D508"/>
    <mergeCell ref="A509:F509"/>
    <mergeCell ref="A510:F510"/>
    <mergeCell ref="A511:D511"/>
    <mergeCell ref="A512:D512"/>
    <mergeCell ref="A513:C513"/>
    <mergeCell ref="A514:C514"/>
    <mergeCell ref="A515:C515"/>
    <mergeCell ref="A516:C516"/>
    <mergeCell ref="A517:D517"/>
    <mergeCell ref="A518:F518"/>
    <mergeCell ref="A519:C519"/>
    <mergeCell ref="A520:F520"/>
    <mergeCell ref="A521:D521"/>
    <mergeCell ref="A522:F522"/>
    <mergeCell ref="A523:D523"/>
    <mergeCell ref="A524:D524"/>
    <mergeCell ref="A525:D525"/>
    <mergeCell ref="A526:D526"/>
    <mergeCell ref="A527:D527"/>
    <mergeCell ref="A528:C528"/>
    <mergeCell ref="A529:F529"/>
    <mergeCell ref="A530:F530"/>
    <mergeCell ref="A531:D531"/>
    <mergeCell ref="A543:F543"/>
    <mergeCell ref="A546:F546"/>
    <mergeCell ref="A550:F550"/>
    <mergeCell ref="A551:D551"/>
    <mergeCell ref="A552:D552"/>
    <mergeCell ref="A553:D553"/>
    <mergeCell ref="A554:F554"/>
    <mergeCell ref="A555:F555"/>
    <mergeCell ref="A556:D556"/>
    <mergeCell ref="A557:D557"/>
    <mergeCell ref="A558:C558"/>
    <mergeCell ref="A559:C559"/>
    <mergeCell ref="A560:C560"/>
    <mergeCell ref="A561:C561"/>
    <mergeCell ref="A562:D562"/>
    <mergeCell ref="A563:F563"/>
    <mergeCell ref="A564:C564"/>
    <mergeCell ref="A565:F565"/>
    <mergeCell ref="A566:D566"/>
    <mergeCell ref="A567:F567"/>
    <mergeCell ref="A568:D568"/>
    <mergeCell ref="A569:D569"/>
    <mergeCell ref="A570:D570"/>
    <mergeCell ref="A571:D571"/>
    <mergeCell ref="A572:D572"/>
    <mergeCell ref="A573:C573"/>
    <mergeCell ref="A574:F574"/>
    <mergeCell ref="A575:F575"/>
    <mergeCell ref="A576:F576"/>
    <mergeCell ref="A590:F590"/>
    <mergeCell ref="A591:B591"/>
    <mergeCell ref="A592:F592"/>
    <mergeCell ref="A593:E593"/>
    <mergeCell ref="F593:I593"/>
    <mergeCell ref="A594:F594"/>
    <mergeCell ref="A595:I595"/>
    <mergeCell ref="A596:F596"/>
    <mergeCell ref="G596:I596"/>
    <mergeCell ref="A597:F597"/>
    <mergeCell ref="G597:I597"/>
    <mergeCell ref="A598:F598"/>
    <mergeCell ref="G598:I598"/>
    <mergeCell ref="A599:F599"/>
    <mergeCell ref="G599:I599"/>
    <mergeCell ref="A600:F600"/>
    <mergeCell ref="A601:I601"/>
  </mergeCell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Calculadora Nómina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 Memoria — Calculadora v3</dc:creator>
  <dc:title/>
  <dc:subject/>
  <dc:description/>
  <cp:keywords/>
  <cp:category/>
  <cp:lastModifiedBy>Unknown</cp:lastModifiedBy>
  <dcterms:created xsi:type="dcterms:W3CDTF">2026-05-20T10:28:23Z</dcterms:created>
  <dcterms:modified xsi:type="dcterms:W3CDTF">2026-05-20T10:28:23Z</dcterms:modified>
</cp:coreProperties>
</file>