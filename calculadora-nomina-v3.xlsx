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lculadora Nómina 2026" state="visible" r:id="rId4"/>
  </sheets>
  <calcPr calcId="171027"/>
</workbook>
</file>

<file path=xl/sharedStrings.xml><?xml version="1.0" encoding="utf-8"?>
<sst xmlns="http://schemas.openxmlformats.org/spreadsheetml/2006/main" count="794" uniqueCount="116">
  <si>
    <t>CALCULADORA NÓMINA 2026 — v3</t>
  </si>
  <si>
    <t>SS calculada en bases separadas: Base CC (sujeto sin HHEE + prorrata) y Base AT (Base CC + HHEE)  |  IRPF sobre bruto sujeto mensual</t>
  </si>
  <si>
    <t>⚙️   CONFIGURACIÓN — Celdas amarillas = editables</t>
  </si>
  <si>
    <t/>
  </si>
  <si>
    <t>Parámetro</t>
  </si>
  <si>
    <t>Valor</t>
  </si>
  <si>
    <t>Salario Convenio mensual</t>
  </si>
  <si>
    <t>← salario base fijo mensual</t>
  </si>
  <si>
    <t>Bruto por día (días fuera)</t>
  </si>
  <si>
    <t>PRORRATA Y PLUSES BASE</t>
  </si>
  <si>
    <t xml:space="preserve">  Prorrata Pagas Extra (mensual)</t>
  </si>
  <si>
    <t>← suma a Base CC y AT para SS (no computa en IRPF mensual)</t>
  </si>
  <si>
    <t xml:space="preserve">  Plus Actividad por defecto</t>
  </si>
  <si>
    <t>← valor por defecto; editable mes a mes</t>
  </si>
  <si>
    <t>SEGURIDAD SOCIAL — Tasas trabajador</t>
  </si>
  <si>
    <t>Concepto SS</t>
  </si>
  <si>
    <t>Tasa (%)</t>
  </si>
  <si>
    <t>Base de cálculo</t>
  </si>
  <si>
    <t xml:space="preserve">  CC (Contingencias Comunes)</t>
  </si>
  <si>
    <t>Base CC = sujeto sin HHEE + prorrata</t>
  </si>
  <si>
    <t xml:space="preserve">  Desempleo + FP</t>
  </si>
  <si>
    <t>Base AT = Base CC + HHEE</t>
  </si>
  <si>
    <t xml:space="preserve">  HH.EE. Normales</t>
  </si>
  <si>
    <t>Sólo importe total Horas Extra</t>
  </si>
  <si>
    <t xml:space="preserve">  MEI</t>
  </si>
  <si>
    <t>Base AT (tasa real ≈ 0.1307%)</t>
  </si>
  <si>
    <t>IRPF por defecto (%)</t>
  </si>
  <si>
    <t>← 18.15% según nómina feb; editable por mes en col F de cada bloque</t>
  </si>
  <si>
    <t>PRECIOS UNITARIOS DE VARIABLES</t>
  </si>
  <si>
    <t>Concepto</t>
  </si>
  <si>
    <t>Precio (€/unidad)</t>
  </si>
  <si>
    <t>Tipo SS</t>
  </si>
  <si>
    <t xml:space="preserve">  Turnicidad</t>
  </si>
  <si>
    <t>Base CC</t>
  </si>
  <si>
    <t xml:space="preserve">  Nocturnidad</t>
  </si>
  <si>
    <t xml:space="preserve">  Plus frío / baja temp.</t>
  </si>
  <si>
    <t xml:space="preserve">  H. Disponibilidad</t>
  </si>
  <si>
    <t xml:space="preserve">  H. Disponibilidad Fest.</t>
  </si>
  <si>
    <t xml:space="preserve">  H. Desplazamiento</t>
  </si>
  <si>
    <t xml:space="preserve">  H. Desp. Festivo</t>
  </si>
  <si>
    <t xml:space="preserve">  H. Extra Normal</t>
  </si>
  <si>
    <t>Base AT (HHEE)</t>
  </si>
  <si>
    <t xml:space="preserve">  H. Extra Festiva</t>
  </si>
  <si>
    <t xml:space="preserve">  Días fuera (bruto/día)</t>
  </si>
  <si>
    <t xml:space="preserve">  KM</t>
  </si>
  <si>
    <t>Exento</t>
  </si>
  <si>
    <t>ENERO 2026</t>
  </si>
  <si>
    <t>Días: 31</t>
  </si>
  <si>
    <t>CONCEPTO</t>
  </si>
  <si>
    <t>CANTIDAD</t>
  </si>
  <si>
    <t>€/UNIDAD</t>
  </si>
  <si>
    <t>TOTAL €</t>
  </si>
  <si>
    <t>TIPO</t>
  </si>
  <si>
    <t>Salario Convenio</t>
  </si>
  <si>
    <t>SUJETO-CC</t>
  </si>
  <si>
    <t xml:space="preserve">  Plus Actividad (importe mensual)</t>
  </si>
  <si>
    <t>(directo)</t>
  </si>
  <si>
    <t xml:space="preserve">  H. Desplazamiento Fest.</t>
  </si>
  <si>
    <t xml:space="preserve">  Días fuera</t>
  </si>
  <si>
    <t>── HORAS EXTRA (cotizan en base AT separada) ──────────────────────────</t>
  </si>
  <si>
    <t>HHEE-AT</t>
  </si>
  <si>
    <t>── EXENTOS (no cotizan SS ni IRPF) ────────────────────────────────────</t>
  </si>
  <si>
    <t xml:space="preserve">  Dieta (importe directo)</t>
  </si>
  <si>
    <t>EXENTO</t>
  </si>
  <si>
    <t xml:space="preserve">  Tiquets (importe directo)</t>
  </si>
  <si>
    <t xml:space="preserve">  KM (km × 0,30€)</t>
  </si>
  <si>
    <t>BRUTO SUJETO (base IRPF = sujeto CC + HHEE)</t>
  </si>
  <si>
    <t>EXENTOS (dieta + tiquets + km)</t>
  </si>
  <si>
    <t>Total Horas Extra (HHEE)</t>
  </si>
  <si>
    <t>── COTIZACIÓN SEGURIDAD SOCIAL ─────────────────────────────────────────</t>
  </si>
  <si>
    <t xml:space="preserve">  Base CC = sujeto CC + prorrata (419.61€)</t>
  </si>
  <si>
    <t xml:space="preserve">  Base AT/Desempleo = Base CC + HHEE</t>
  </si>
  <si>
    <t>Base AT</t>
  </si>
  <si>
    <t xml:space="preserve">  (-) SS Contingencias Comunes</t>
  </si>
  <si>
    <t xml:space="preserve">  (-) SS Desempleo + FP</t>
  </si>
  <si>
    <t xml:space="preserve">  (-) SS Horas Extra</t>
  </si>
  <si>
    <t xml:space="preserve">  (-) SS MEI</t>
  </si>
  <si>
    <t>TOTAL SS TRABAJADOR</t>
  </si>
  <si>
    <t xml:space="preserve">  (-) Retención IRPF</t>
  </si>
  <si>
    <t>💳  LÍQUIDO A PERCIBIR (NETO)</t>
  </si>
  <si>
    <t>✓ v3</t>
  </si>
  <si>
    <t>FEBRERO 2026</t>
  </si>
  <si>
    <t>Días: 28</t>
  </si>
  <si>
    <t>MARZO 2026</t>
  </si>
  <si>
    <t>ABRIL 2026</t>
  </si>
  <si>
    <t>Días: 30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</si>
  <si>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</si>
  <si>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</si>
  <si>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</si>
  <si>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</si>
  <si>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</si>
  <si>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</si>
  <si>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</si>
  <si>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</si>
  <si>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📅  RESUMEN ANUAL 2026</t>
  </si>
  <si>
    <t>MES</t>
  </si>
  <si>
    <t>Bruto Sujeto</t>
  </si>
  <si>
    <t>SS Total (−)</t>
  </si>
  <si>
    <t>IRPF (−)</t>
  </si>
  <si>
    <t>Exentos (+)</t>
  </si>
  <si>
    <t>NETO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</si>
  <si>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</si>
  <si>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</si>
  <si>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</si>
  <si>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</si>
  <si>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</si>
  <si>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</si>
  <si>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</si>
  <si>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</si>
  <si>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</si>
  <si>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</si>
  <si>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</si>
  <si>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</si>
  <si>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TOTALES ANUALES</t>
  </si>
  <si>
    <t>💳  NETO ANUAL TOTAL 2026</t>
  </si>
  <si>
    <t>⚠️  Celdas amarillas = editables  |  IRPF en col F de cada mes  |  Base CC = sujeto sin HHEE + prorrata  |  Base AT = Base CC + HHEE  |  NETO = Total devengado − SS total − IRPF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</si>
</sst>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&quot;€&quot;"/>
  </numFmts>
  <fonts count="31" x14ac:knownFonts="1">
    <font>
      <color theme="1"/>
      <family val="2"/>
      <scheme val="minor"/>
      <sz val="11"/>
      <name val="Calibri"/>
    </font>
    <font>
      <b/>
      <color rgb="FFFFFF"/>
      <sz val="18"/>
      <name val="Calibri"/>
    </font>
    <font>
      <i/>
      <color rgb="78350F"/>
      <sz val="9"/>
      <name val="Calibri"/>
    </font>
    <font>
      <b/>
      <color rgb="FFFFFF"/>
      <sz val="11"/>
      <name val="Calibri"/>
    </font>
    <font>
      <b/>
      <color rgb="64748B"/>
      <sz val="9"/>
      <name val="Calibri"/>
    </font>
    <font>
      <b/>
      <color rgb="0F172A"/>
      <sz val="10"/>
      <name val="Calibri"/>
    </font>
    <font>
      <b/>
      <color rgb="4338CA"/>
      <sz val="10"/>
      <name val="Calibri"/>
    </font>
    <font>
      <i/>
      <color rgb="64748B"/>
      <sz val="9"/>
      <name val="Calibri"/>
    </font>
    <font>
      <color rgb="0F172A"/>
      <sz val="10"/>
      <name val="Calibri"/>
    </font>
    <font>
      <b/>
      <color rgb="FFFFFF"/>
      <sz val="9"/>
      <name val="Calibri"/>
    </font>
    <font>
      <color rgb="1D4ED8"/>
      <sz val="9"/>
      <name val="Calibri"/>
    </font>
    <font>
      <color rgb="065F46"/>
      <sz val="9"/>
      <name val="Calibri"/>
    </font>
    <font>
      <b/>
      <color rgb="FFFFFF"/>
      <sz val="12"/>
      <name val="Calibri"/>
    </font>
    <font>
      <color rgb="FFFFFF"/>
      <sz val="10"/>
      <name val="Calibri"/>
    </font>
    <font>
      <b/>
      <color rgb="1D4ED8"/>
      <sz val="9"/>
      <name val="Calibri"/>
    </font>
    <font>
      <b/>
      <color rgb="64748B"/>
      <sz val="10"/>
      <name val="Calibri"/>
    </font>
    <font>
      <b/>
      <i/>
      <color rgb="1D4ED8"/>
      <sz val="9"/>
      <name val="Calibri"/>
    </font>
    <font>
      <b/>
      <i/>
      <color rgb="065F46"/>
      <sz val="9"/>
      <name val="Calibri"/>
    </font>
    <font>
      <b/>
      <color rgb="065F46"/>
      <sz val="10"/>
      <name val="Calibri"/>
    </font>
    <font>
      <b/>
      <color rgb="065F46"/>
      <sz val="9"/>
      <name val="Calibri"/>
    </font>
    <font>
      <b/>
      <i/>
      <color rgb="DC2626"/>
      <sz val="9"/>
      <name val="Calibri"/>
    </font>
    <font>
      <color rgb="B91C1C"/>
      <sz val="9"/>
      <name val="Calibri"/>
    </font>
    <font>
      <b/>
      <color rgb="B91C1C"/>
      <sz val="9"/>
      <name val="Calibri"/>
    </font>
    <font>
      <color rgb="DC2626"/>
      <sz val="10"/>
      <name val="Calibri"/>
    </font>
    <font>
      <b/>
      <color rgb="DC2626"/>
      <sz val="10"/>
      <name val="Calibri"/>
    </font>
    <font>
      <b/>
      <color rgb="FFFFFF"/>
      <sz val="10"/>
      <name val="Calibri"/>
    </font>
    <font>
      <b/>
      <color rgb="FFFFFF"/>
      <sz val="13"/>
      <name val="Calibri"/>
    </font>
    <font>
      <b/>
      <color rgb="D1FAE5"/>
      <sz val="9"/>
      <name val="Calibri"/>
    </font>
    <font>
      <b/>
      <color rgb="059669"/>
      <sz val="11"/>
      <name val="Calibri"/>
    </font>
    <font>
      <b/>
      <color rgb="FFFFFF"/>
      <sz val="14"/>
      <name val="Calibri"/>
    </font>
    <font>
      <b/>
      <color rgb="FFFFFF"/>
      <sz val="16"/>
      <name val="Calibri"/>
    </font>
  </fonts>
  <fills count="14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BEB"/>
      </patternFill>
    </fill>
    <fill>
      <patternFill patternType="solid">
        <fgColor rgb="F8FAFC"/>
      </patternFill>
    </fill>
    <fill>
      <patternFill patternType="solid">
        <fgColor rgb="EDE9FE"/>
      </patternFill>
    </fill>
    <fill>
      <patternFill patternType="solid">
        <fgColor rgb="6366F1"/>
      </patternFill>
    </fill>
    <fill>
      <patternFill patternType="solid">
        <fgColor rgb="EFF6FF"/>
      </patternFill>
    </fill>
    <fill>
      <patternFill patternType="solid">
        <fgColor rgb="D1FAE5"/>
      </patternFill>
    </fill>
    <fill>
      <patternFill patternType="solid">
        <fgColor rgb="E2E8F0"/>
      </patternFill>
    </fill>
    <fill>
      <patternFill patternType="solid">
        <fgColor rgb="FEE2E2"/>
      </patternFill>
    </fill>
    <fill>
      <patternFill patternType="solid">
        <fgColor rgb="DC2626"/>
      </patternFill>
    </fill>
    <fill>
      <patternFill patternType="solid">
        <fgColor rgb="059669"/>
      </patternFill>
    </fill>
    <fill>
      <patternFill patternType="solid">
        <fgColor rgb="FFFFFF"/>
      </patternFill>
    </fill>
  </fills>
  <borders count="5">
    <border>
      <left/>
      <right/>
      <top/>
      <bottom/>
      <diagonal/>
    </border>
    <border>
      <left style="thin">
        <color rgb="F59E0B"/>
      </left>
      <right style="thin">
        <color rgb="F59E0B"/>
      </right>
      <top style="thin">
        <color rgb="F59E0B"/>
      </top>
      <bottom style="thin">
        <color rgb="F59E0B"/>
      </bottom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  <border>
      <left style="thin">
        <color rgb="059669"/>
      </left>
      <right style="thin">
        <color rgb="059669"/>
      </right>
      <top style="thin">
        <color rgb="059669"/>
      </top>
      <bottom style="thin">
        <color rgb="059669"/>
      </bottom>
      <diagonal/>
    </border>
    <border>
      <left style="thin">
        <color rgb="6366F1"/>
      </left>
      <right style="thin">
        <color rgb="6366F1"/>
      </right>
      <top style="thin">
        <color rgb="6366F1"/>
      </top>
      <bottom style="thin">
        <color rgb="6366F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/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 indent="1"/>
    </xf>
    <xf numFmtId="164" fontId="6" fillId="3" borderId="1" xfId="0" applyNumberFormat="1" applyFont="1" applyFill="1" applyBorder="1" applyAlignment="1">
      <alignment horizontal="right" vertical="center"/>
    </xf>
    <xf numFmtId="0" fontId="7" fillId="0" borderId="0" xfId="0" applyFont="1" applyAlignment="1">
      <alignment indent="1"/>
    </xf>
    <xf numFmtId="0" fontId="8" fillId="0" borderId="0" xfId="0" applyFont="1" applyAlignment="1">
      <alignment vertical="center" indent="1"/>
    </xf>
    <xf numFmtId="0" fontId="0" fillId="5" borderId="0" xfId="0" applyFill="1"/>
    <xf numFmtId="0" fontId="6" fillId="0" borderId="0" xfId="0" applyFont="1" applyAlignment="1">
      <alignment vertical="center" indent="1"/>
    </xf>
    <xf numFmtId="0" fontId="8" fillId="0" borderId="0" xfId="0" applyFont="1" applyAlignment="1">
      <alignment vertical="center" indent="2"/>
    </xf>
    <xf numFmtId="0" fontId="9" fillId="6" borderId="0" xfId="0" applyFont="1" applyFill="1" applyAlignment="1">
      <alignment horizontal="left" vertical="center"/>
    </xf>
    <xf numFmtId="0" fontId="9" fillId="6" borderId="0" xfId="0" applyFont="1" applyFill="1" applyAlignment="1">
      <alignment horizontal="left" vertical="center" indent="1"/>
    </xf>
    <xf numFmtId="0" fontId="9" fillId="6" borderId="0" xfId="0" applyFont="1" applyFill="1" applyAlignment="1">
      <alignment horizontal="center" vertical="center"/>
    </xf>
    <xf numFmtId="10" fontId="6" fillId="3" borderId="1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center" vertical="center"/>
    </xf>
    <xf numFmtId="164" fontId="5" fillId="4" borderId="2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4" fontId="6" fillId="3" borderId="1" xfId="0" applyNumberFormat="1" applyFont="1" applyFill="1" applyBorder="1" applyAlignment="1">
      <alignment horizontal="right" vertical="center"/>
    </xf>
    <xf numFmtId="164" fontId="15" fillId="4" borderId="2" xfId="0" applyNumberFormat="1" applyFont="1" applyFill="1" applyBorder="1" applyAlignment="1">
      <alignment horizontal="right" vertical="center"/>
    </xf>
    <xf numFmtId="0" fontId="16" fillId="7" borderId="0" xfId="0" applyFont="1" applyFill="1" applyAlignment="1">
      <alignment horizontal="left" vertical="center" indent="1"/>
    </xf>
    <xf numFmtId="0" fontId="17" fillId="8" borderId="0" xfId="0" applyFont="1" applyFill="1" applyAlignment="1">
      <alignment horizontal="left" vertical="center" indent="1"/>
    </xf>
    <xf numFmtId="164" fontId="18" fillId="8" borderId="2" xfId="0" applyNumberFormat="1" applyFont="1" applyFill="1" applyBorder="1" applyAlignment="1">
      <alignment horizontal="right" vertical="center"/>
    </xf>
    <xf numFmtId="0" fontId="19" fillId="0" borderId="0" xfId="0" applyFont="1" applyAlignment="1">
      <alignment horizontal="center" vertical="center"/>
    </xf>
    <xf numFmtId="0" fontId="0" fillId="9" borderId="0" xfId="0" applyFill="1"/>
    <xf numFmtId="0" fontId="6" fillId="5" borderId="0" xfId="0" applyFont="1" applyFill="1" applyAlignment="1">
      <alignment horizontal="left" vertical="center" indent="2"/>
    </xf>
    <xf numFmtId="164" fontId="6" fillId="5" borderId="2" xfId="0" applyNumberFormat="1" applyFont="1" applyFill="1" applyBorder="1" applyAlignment="1">
      <alignment horizontal="right" vertical="center"/>
    </xf>
    <xf numFmtId="0" fontId="18" fillId="8" borderId="0" xfId="0" applyFont="1" applyFill="1" applyAlignment="1">
      <alignment horizontal="left" vertical="center" indent="2"/>
    </xf>
    <xf numFmtId="0" fontId="10" fillId="7" borderId="0" xfId="0" applyFont="1" applyFill="1" applyAlignment="1">
      <alignment horizontal="left" vertical="center" indent="2"/>
    </xf>
    <xf numFmtId="164" fontId="10" fillId="7" borderId="2" xfId="0" applyNumberFormat="1" applyFont="1" applyFill="1" applyBorder="1" applyAlignment="1">
      <alignment horizontal="right" vertical="center"/>
    </xf>
    <xf numFmtId="0" fontId="20" fillId="10" borderId="0" xfId="0" applyFont="1" applyFill="1" applyAlignment="1">
      <alignment horizontal="left" vertical="center" indent="1"/>
    </xf>
    <xf numFmtId="0" fontId="21" fillId="10" borderId="0" xfId="0" applyFont="1" applyFill="1" applyAlignment="1">
      <alignment horizontal="left" vertical="center" indent="2"/>
    </xf>
    <xf numFmtId="164" fontId="21" fillId="10" borderId="2" xfId="0" applyNumberFormat="1" applyFont="1" applyFill="1" applyBorder="1" applyAlignment="1">
      <alignment horizontal="right" vertical="center"/>
    </xf>
    <xf numFmtId="0" fontId="22" fillId="0" borderId="0" xfId="0" applyFont="1" applyAlignment="1">
      <alignment horizontal="center" vertical="center"/>
    </xf>
    <xf numFmtId="0" fontId="23" fillId="10" borderId="0" xfId="0" applyFont="1" applyFill="1" applyAlignment="1">
      <alignment horizontal="left" vertical="center" indent="3"/>
    </xf>
    <xf numFmtId="10" fontId="24" fillId="10" borderId="2" xfId="0" applyNumberFormat="1" applyFont="1" applyFill="1" applyBorder="1" applyAlignment="1">
      <alignment horizontal="right" vertical="center"/>
    </xf>
    <xf numFmtId="164" fontId="24" fillId="10" borderId="2" xfId="0" applyNumberFormat="1" applyFont="1" applyFill="1" applyBorder="1" applyAlignment="1">
      <alignment horizontal="right" vertical="center"/>
    </xf>
    <xf numFmtId="0" fontId="25" fillId="11" borderId="0" xfId="0" applyFont="1" applyFill="1" applyAlignment="1">
      <alignment horizontal="left" vertical="center" indent="2"/>
    </xf>
    <xf numFmtId="164" fontId="25" fillId="11" borderId="2" xfId="0" applyNumberFormat="1" applyFont="1" applyFill="1" applyBorder="1" applyAlignment="1">
      <alignment horizontal="right" vertical="center"/>
    </xf>
    <xf numFmtId="0" fontId="24" fillId="10" borderId="0" xfId="0" applyFont="1" applyFill="1" applyAlignment="1">
      <alignment horizontal="left" vertical="center" indent="3"/>
    </xf>
    <xf numFmtId="0" fontId="26" fillId="12" borderId="0" xfId="0" applyFont="1" applyFill="1" applyAlignment="1">
      <alignment horizontal="left" vertical="center" indent="1"/>
    </xf>
    <xf numFmtId="164" fontId="26" fillId="12" borderId="3" xfId="0" applyNumberFormat="1" applyFont="1" applyFill="1" applyBorder="1" applyAlignment="1">
      <alignment horizontal="right" vertical="center"/>
    </xf>
    <xf numFmtId="0" fontId="27" fillId="12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left" vertical="center" indent="1"/>
    </xf>
    <xf numFmtId="0" fontId="25" fillId="6" borderId="0" xfId="0" applyFont="1" applyFill="1" applyAlignment="1">
      <alignment horizontal="left" vertical="center"/>
    </xf>
    <xf numFmtId="0" fontId="25" fillId="6" borderId="0" xfId="0" applyFont="1" applyFill="1" applyAlignment="1">
      <alignment horizontal="left" vertical="center" indent="1"/>
    </xf>
    <xf numFmtId="0" fontId="25" fillId="6" borderId="0" xfId="0" applyFont="1" applyFill="1" applyAlignment="1">
      <alignment horizontal="center" vertical="center"/>
    </xf>
    <xf numFmtId="0" fontId="5" fillId="13" borderId="0" xfId="0" applyFont="1" applyFill="1" applyAlignment="1">
      <alignment vertical="center" indent="1"/>
    </xf>
    <xf numFmtId="164" fontId="5" fillId="13" borderId="2" xfId="0" applyNumberFormat="1" applyFont="1" applyFill="1" applyBorder="1" applyAlignment="1">
      <alignment horizontal="right" vertical="center"/>
    </xf>
    <xf numFmtId="164" fontId="24" fillId="13" borderId="2" xfId="0" applyNumberFormat="1" applyFont="1" applyFill="1" applyBorder="1" applyAlignment="1">
      <alignment horizontal="right" vertical="center"/>
    </xf>
    <xf numFmtId="164" fontId="18" fillId="13" borderId="2" xfId="0" applyNumberFormat="1" applyFont="1" applyFill="1" applyBorder="1" applyAlignment="1">
      <alignment horizontal="right" vertical="center"/>
    </xf>
    <xf numFmtId="164" fontId="28" fillId="13" borderId="2" xfId="0" applyNumberFormat="1" applyFont="1" applyFill="1" applyBorder="1" applyAlignment="1">
      <alignment horizontal="right" vertical="center"/>
    </xf>
    <xf numFmtId="0" fontId="5" fillId="5" borderId="0" xfId="0" applyFont="1" applyFill="1" applyAlignment="1">
      <alignment vertical="center" indent="1"/>
    </xf>
    <xf numFmtId="164" fontId="5" fillId="5" borderId="2" xfId="0" applyNumberFormat="1" applyFont="1" applyFill="1" applyBorder="1" applyAlignment="1">
      <alignment horizontal="right" vertical="center"/>
    </xf>
    <xf numFmtId="164" fontId="24" fillId="5" borderId="2" xfId="0" applyNumberFormat="1" applyFont="1" applyFill="1" applyBorder="1" applyAlignment="1">
      <alignment horizontal="right" vertical="center"/>
    </xf>
    <xf numFmtId="164" fontId="18" fillId="5" borderId="2" xfId="0" applyNumberFormat="1" applyFont="1" applyFill="1" applyBorder="1" applyAlignment="1">
      <alignment horizontal="right" vertical="center"/>
    </xf>
    <xf numFmtId="164" fontId="28" fillId="5" borderId="2" xfId="0" applyNumberFormat="1" applyFont="1" applyFill="1" applyBorder="1" applyAlignment="1">
      <alignment horizontal="right" vertical="center"/>
    </xf>
    <xf numFmtId="164" fontId="3" fillId="2" borderId="4" xfId="0" applyNumberFormat="1" applyFont="1" applyFill="1" applyBorder="1" applyAlignment="1">
      <alignment horizontal="right" vertical="center"/>
    </xf>
    <xf numFmtId="0" fontId="29" fillId="12" borderId="0" xfId="0" applyFont="1" applyFill="1" applyAlignment="1">
      <alignment horizontal="center" vertical="center"/>
    </xf>
    <xf numFmtId="164" fontId="30" fillId="12" borderId="3" xfId="0" applyNumberFormat="1" applyFont="1" applyFill="1" applyBorder="1" applyAlignment="1">
      <alignment horizontal="right" vertical="center"/>
    </xf>
    <xf numFmtId="0" fontId="2" fillId="3" borderId="0" xfId="0" applyFont="1" applyFill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G499"/>
  <sheetFormatPr defaultRowHeight="15" outlineLevelRow="0" outlineLevelCol="0" x14ac:dyDescent="55"/>
  <cols>
    <col min="1" max="1" width="2" customWidth="1"/>
    <col min="2" max="2" width="35" customWidth="1"/>
    <col min="3" max="4" width="13" customWidth="1"/>
    <col min="5" max="5" width="16" customWidth="1"/>
    <col min="6" max="6" width="12" customWidth="1"/>
    <col min="7" max="7" width="15" customWidth="1"/>
  </cols>
  <sheetData>
    <row r="1" ht="42" customHeight="1" spans="1:6" x14ac:dyDescent="0.25">
      <c r="A1" s="1" t="s">
        <v>0</v>
      </c>
      <c r="B1" s="1"/>
      <c r="C1" s="1"/>
      <c r="D1" s="1"/>
      <c r="E1" s="1"/>
      <c r="F1" s="1"/>
    </row>
    <row r="2" ht="18" customHeight="1" spans="1:6" x14ac:dyDescent="0.25">
      <c r="A2" s="2" t="s">
        <v>1</v>
      </c>
      <c r="B2" s="2"/>
      <c r="C2" s="2"/>
      <c r="D2" s="2"/>
      <c r="E2" s="2"/>
      <c r="F2" s="2"/>
    </row>
    <row r="3" ht="8" customHeight="1" spans="1:6" x14ac:dyDescent="0.25">
      <c r="A3" s="3"/>
      <c r="B3" s="3"/>
      <c r="C3" s="3"/>
      <c r="D3" s="3"/>
      <c r="E3" s="3"/>
      <c r="F3" s="3"/>
    </row>
    <row r="4" ht="24" customHeight="1" spans="1:6" x14ac:dyDescent="0.25">
      <c r="A4" s="4" t="s">
        <v>2</v>
      </c>
      <c r="B4" s="4"/>
      <c r="C4" s="4"/>
      <c r="D4" s="4"/>
      <c r="E4" s="4"/>
      <c r="F4" s="4"/>
    </row>
    <row r="5" ht="16" customHeight="1" spans="1:6" x14ac:dyDescent="0.25">
      <c r="A5" s="5" t="s">
        <v>3</v>
      </c>
      <c r="B5" s="5" t="s">
        <v>4</v>
      </c>
      <c r="C5" s="5" t="s">
        <v>5</v>
      </c>
      <c r="D5" s="5" t="s">
        <v>3</v>
      </c>
      <c r="E5" s="5" t="s">
        <v>3</v>
      </c>
      <c r="F5" s="5" t="s">
        <v>3</v>
      </c>
    </row>
    <row r="6" ht="20" customHeight="1" spans="2:6" x14ac:dyDescent="0.25">
      <c r="B6" s="6" t="s">
        <v>6</v>
      </c>
      <c r="C6" s="7">
        <v>2063.39</v>
      </c>
      <c r="D6" s="8" t="s">
        <v>7</v>
      </c>
      <c r="E6" s="8"/>
      <c r="F6" s="8"/>
    </row>
    <row r="7" ht="20" customHeight="1" spans="2:3" x14ac:dyDescent="0.25">
      <c r="B7" s="9" t="s">
        <v>8</v>
      </c>
      <c r="C7" s="7">
        <v>64.208</v>
      </c>
    </row>
    <row r="8" ht="4" customHeight="1" spans="1:6" x14ac:dyDescent="0.25">
      <c r="A8" s="10"/>
      <c r="B8" s="10"/>
      <c r="C8" s="10"/>
      <c r="D8" s="10"/>
      <c r="E8" s="10"/>
      <c r="F8" s="10"/>
    </row>
    <row r="9" ht="18" customHeight="1" spans="2:2" x14ac:dyDescent="0.25">
      <c r="B9" s="11" t="s">
        <v>9</v>
      </c>
    </row>
    <row r="10" ht="20" customHeight="1" spans="2:6" x14ac:dyDescent="0.25">
      <c r="B10" s="12" t="s">
        <v>10</v>
      </c>
      <c r="C10" s="7">
        <v>419.61</v>
      </c>
      <c r="D10" s="8" t="s">
        <v>11</v>
      </c>
      <c r="E10" s="8"/>
      <c r="F10" s="8"/>
    </row>
    <row r="11" ht="20" customHeight="1" spans="2:6" x14ac:dyDescent="0.25">
      <c r="B11" s="12" t="s">
        <v>12</v>
      </c>
      <c r="C11" s="7">
        <v>18.04</v>
      </c>
      <c r="D11" s="8" t="s">
        <v>13</v>
      </c>
      <c r="E11" s="8"/>
      <c r="F11" s="8"/>
    </row>
    <row r="12" ht="4" customHeight="1" spans="1:6" x14ac:dyDescent="0.25">
      <c r="A12" s="10"/>
      <c r="B12" s="10"/>
      <c r="C12" s="10"/>
      <c r="D12" s="10"/>
      <c r="E12" s="10"/>
      <c r="F12" s="10"/>
    </row>
    <row r="13" ht="18" customHeight="1" spans="2:2" x14ac:dyDescent="0.25">
      <c r="B13" s="11" t="s">
        <v>14</v>
      </c>
    </row>
    <row r="14" ht="16" customHeight="1" spans="1:6" x14ac:dyDescent="0.25">
      <c r="A14" s="13" t="s">
        <v>3</v>
      </c>
      <c r="B14" s="14" t="s">
        <v>15</v>
      </c>
      <c r="C14" s="15" t="s">
        <v>16</v>
      </c>
      <c r="D14" s="15" t="s">
        <v>17</v>
      </c>
      <c r="E14" s="15" t="s">
        <v>3</v>
      </c>
      <c r="F14" s="15" t="s">
        <v>3</v>
      </c>
    </row>
    <row r="15" ht="18" customHeight="1" spans="2:6" x14ac:dyDescent="0.25">
      <c r="B15" s="12" t="s">
        <v>18</v>
      </c>
      <c r="C15" s="16">
        <v>0.047</v>
      </c>
      <c r="D15" s="8" t="s">
        <v>19</v>
      </c>
      <c r="E15" s="8"/>
      <c r="F15" s="8"/>
    </row>
    <row r="16" ht="18" customHeight="1" spans="2:6" x14ac:dyDescent="0.25">
      <c r="B16" s="12" t="s">
        <v>20</v>
      </c>
      <c r="C16" s="16">
        <v>0.0165</v>
      </c>
      <c r="D16" s="8" t="s">
        <v>21</v>
      </c>
      <c r="E16" s="8"/>
      <c r="F16" s="8"/>
    </row>
    <row r="17" ht="18" customHeight="1" spans="2:6" x14ac:dyDescent="0.25">
      <c r="B17" s="12" t="s">
        <v>22</v>
      </c>
      <c r="C17" s="16">
        <v>0.047</v>
      </c>
      <c r="D17" s="8" t="s">
        <v>23</v>
      </c>
      <c r="E17" s="8"/>
      <c r="F17" s="8"/>
    </row>
    <row r="18" ht="18" customHeight="1" spans="2:6" x14ac:dyDescent="0.25">
      <c r="B18" s="12" t="s">
        <v>24</v>
      </c>
      <c r="C18" s="16">
        <v>0.0013</v>
      </c>
      <c r="D18" s="8" t="s">
        <v>25</v>
      </c>
      <c r="E18" s="8"/>
      <c r="F18" s="8"/>
    </row>
    <row r="19" ht="4" customHeight="1" spans="1:6" x14ac:dyDescent="0.25">
      <c r="A19" s="10"/>
      <c r="B19" s="10"/>
      <c r="C19" s="10"/>
      <c r="D19" s="10"/>
      <c r="E19" s="10"/>
      <c r="F19" s="10"/>
    </row>
    <row r="20" ht="20" customHeight="1" spans="2:6" x14ac:dyDescent="0.25">
      <c r="B20" s="11" t="s">
        <v>26</v>
      </c>
      <c r="C20" s="16">
        <v>0.1815</v>
      </c>
      <c r="D20" s="8" t="s">
        <v>27</v>
      </c>
      <c r="E20" s="8"/>
      <c r="F20" s="8"/>
    </row>
    <row r="21" ht="4" customHeight="1" spans="1:6" x14ac:dyDescent="0.25">
      <c r="A21" s="10"/>
      <c r="B21" s="10"/>
      <c r="C21" s="10"/>
      <c r="D21" s="10"/>
      <c r="E21" s="10"/>
      <c r="F21" s="10"/>
    </row>
    <row r="22" ht="18" customHeight="1" spans="2:2" x14ac:dyDescent="0.25">
      <c r="B22" s="11" t="s">
        <v>28</v>
      </c>
    </row>
    <row r="23" ht="16" customHeight="1" spans="1:6" x14ac:dyDescent="0.25">
      <c r="A23" s="13" t="s">
        <v>3</v>
      </c>
      <c r="B23" s="14" t="s">
        <v>29</v>
      </c>
      <c r="C23" s="15" t="s">
        <v>30</v>
      </c>
      <c r="D23" s="15" t="s">
        <v>31</v>
      </c>
      <c r="E23" s="15" t="s">
        <v>3</v>
      </c>
      <c r="F23" s="15" t="s">
        <v>3</v>
      </c>
    </row>
    <row r="24" ht="18" customHeight="1" spans="2:4" x14ac:dyDescent="0.25">
      <c r="B24" s="12" t="s">
        <v>32</v>
      </c>
      <c r="C24" s="7">
        <v>3.65</v>
      </c>
      <c r="D24" s="17" t="s">
        <v>33</v>
      </c>
    </row>
    <row r="25" ht="18" customHeight="1" spans="2:4" x14ac:dyDescent="0.25">
      <c r="B25" s="12" t="s">
        <v>34</v>
      </c>
      <c r="C25" s="7">
        <v>10.94</v>
      </c>
      <c r="D25" s="17" t="s">
        <v>33</v>
      </c>
    </row>
    <row r="26" ht="18" customHeight="1" spans="2:4" x14ac:dyDescent="0.25">
      <c r="B26" s="12" t="s">
        <v>35</v>
      </c>
      <c r="C26" s="7">
        <v>16.32</v>
      </c>
      <c r="D26" s="17" t="s">
        <v>33</v>
      </c>
    </row>
    <row r="27" ht="18" customHeight="1" spans="2:4" x14ac:dyDescent="0.25">
      <c r="B27" s="12" t="s">
        <v>36</v>
      </c>
      <c r="C27" s="7">
        <v>1.35</v>
      </c>
      <c r="D27" s="17" t="s">
        <v>33</v>
      </c>
    </row>
    <row r="28" ht="18" customHeight="1" spans="2:4" x14ac:dyDescent="0.25">
      <c r="B28" s="12" t="s">
        <v>37</v>
      </c>
      <c r="C28" s="7">
        <v>2.17</v>
      </c>
      <c r="D28" s="17" t="s">
        <v>33</v>
      </c>
    </row>
    <row r="29" ht="18" customHeight="1" spans="2:4" x14ac:dyDescent="0.25">
      <c r="B29" s="12" t="s">
        <v>38</v>
      </c>
      <c r="C29" s="7">
        <v>10.56</v>
      </c>
      <c r="D29" s="17" t="s">
        <v>33</v>
      </c>
    </row>
    <row r="30" ht="18" customHeight="1" spans="2:4" x14ac:dyDescent="0.25">
      <c r="B30" s="12" t="s">
        <v>39</v>
      </c>
      <c r="C30" s="7">
        <v>12.68</v>
      </c>
      <c r="D30" s="17" t="s">
        <v>33</v>
      </c>
    </row>
    <row r="31" ht="18" customHeight="1" spans="2:4" x14ac:dyDescent="0.25">
      <c r="B31" s="12" t="s">
        <v>40</v>
      </c>
      <c r="C31" s="7">
        <v>19.77</v>
      </c>
      <c r="D31" s="17" t="s">
        <v>41</v>
      </c>
    </row>
    <row r="32" ht="18" customHeight="1" spans="2:4" x14ac:dyDescent="0.25">
      <c r="B32" s="12" t="s">
        <v>42</v>
      </c>
      <c r="C32" s="7">
        <v>19.77</v>
      </c>
      <c r="D32" s="17" t="s">
        <v>41</v>
      </c>
    </row>
    <row r="33" ht="18" customHeight="1" spans="2:4" x14ac:dyDescent="0.25">
      <c r="B33" s="12" t="s">
        <v>43</v>
      </c>
      <c r="C33" s="7">
        <f>C$7</f>
      </c>
      <c r="D33" s="17" t="s">
        <v>33</v>
      </c>
    </row>
    <row r="34" ht="18" customHeight="1" spans="2:4" x14ac:dyDescent="0.25">
      <c r="B34" s="12" t="s">
        <v>44</v>
      </c>
      <c r="C34" s="7">
        <v>0.3</v>
      </c>
      <c r="D34" s="18" t="s">
        <v>45</v>
      </c>
    </row>
    <row r="35" ht="10" customHeight="1" spans="1:6" x14ac:dyDescent="0.25">
      <c r="A35" s="3"/>
      <c r="B35" s="3"/>
      <c r="C35" s="3"/>
      <c r="D35" s="3"/>
      <c r="E35" s="3"/>
      <c r="F35" s="3"/>
    </row>
    <row r="36" ht="26" customHeight="1" spans="1:6" x14ac:dyDescent="0.25">
      <c r="A36" s="19" t="s">
        <v>46</v>
      </c>
      <c r="B36" s="19"/>
      <c r="C36" s="19"/>
      <c r="D36" s="19"/>
      <c r="E36" s="20" t="s">
        <v>47</v>
      </c>
      <c r="F36" s="16">
        <v>0.1815</v>
      </c>
    </row>
    <row r="37" ht="16" customHeight="1" spans="1:6" x14ac:dyDescent="0.25">
      <c r="A37" s="21" t="s">
        <v>3</v>
      </c>
      <c r="B37" s="22" t="s">
        <v>48</v>
      </c>
      <c r="C37" s="23" t="s">
        <v>49</v>
      </c>
      <c r="D37" s="23" t="s">
        <v>50</v>
      </c>
      <c r="E37" s="23" t="s">
        <v>51</v>
      </c>
      <c r="F37" s="23" t="s">
        <v>52</v>
      </c>
    </row>
    <row r="38" ht="18" customHeight="1" spans="2:6" x14ac:dyDescent="0.25">
      <c r="B38" s="9" t="s">
        <v>53</v>
      </c>
      <c r="E38" s="24">
        <f>C$6</f>
      </c>
      <c r="F38" s="25" t="s">
        <v>54</v>
      </c>
    </row>
    <row r="39" ht="18" customHeight="1" spans="2:6" x14ac:dyDescent="0.25">
      <c r="B39" s="12" t="s">
        <v>55</v>
      </c>
      <c r="C39" s="7">
        <f>C$11</f>
      </c>
      <c r="D39" s="26" t="s">
        <v>56</v>
      </c>
      <c r="E39" s="24">
        <f>C39</f>
      </c>
      <c r="F39" s="25" t="s">
        <v>54</v>
      </c>
    </row>
    <row r="40" ht="18" customHeight="1" spans="2:6" x14ac:dyDescent="0.25">
      <c r="B40" s="12" t="s">
        <v>32</v>
      </c>
      <c r="C40" s="27">
        <v>0</v>
      </c>
      <c r="D40" s="28">
        <f>C$24</f>
      </c>
      <c r="E40" s="24">
        <f>C40*D40</f>
      </c>
      <c r="F40" s="25" t="s">
        <v>54</v>
      </c>
    </row>
    <row r="41" ht="18" customHeight="1" spans="2:6" x14ac:dyDescent="0.25">
      <c r="B41" s="12" t="s">
        <v>34</v>
      </c>
      <c r="C41" s="27">
        <v>0</v>
      </c>
      <c r="D41" s="28">
        <f>C$25</f>
      </c>
      <c r="E41" s="24">
        <f>C41*D41</f>
      </c>
      <c r="F41" s="25" t="s">
        <v>54</v>
      </c>
    </row>
    <row r="42" ht="18" customHeight="1" spans="2:6" x14ac:dyDescent="0.25">
      <c r="B42" s="12" t="s">
        <v>35</v>
      </c>
      <c r="C42" s="27">
        <v>0</v>
      </c>
      <c r="D42" s="28">
        <f>C$26</f>
      </c>
      <c r="E42" s="24">
        <f>C42*D42</f>
      </c>
      <c r="F42" s="25" t="s">
        <v>54</v>
      </c>
    </row>
    <row r="43" ht="18" customHeight="1" spans="2:6" x14ac:dyDescent="0.25">
      <c r="B43" s="12" t="s">
        <v>36</v>
      </c>
      <c r="C43" s="27">
        <v>0</v>
      </c>
      <c r="D43" s="28">
        <f>C$27</f>
      </c>
      <c r="E43" s="24">
        <f>C43*D43</f>
      </c>
      <c r="F43" s="25" t="s">
        <v>54</v>
      </c>
    </row>
    <row r="44" ht="18" customHeight="1" spans="2:6" x14ac:dyDescent="0.25">
      <c r="B44" s="12" t="s">
        <v>37</v>
      </c>
      <c r="C44" s="27">
        <v>0</v>
      </c>
      <c r="D44" s="28">
        <f>C$28</f>
      </c>
      <c r="E44" s="24">
        <f>C44*D44</f>
      </c>
      <c r="F44" s="25" t="s">
        <v>54</v>
      </c>
    </row>
    <row r="45" ht="18" customHeight="1" spans="2:6" x14ac:dyDescent="0.25">
      <c r="B45" s="12" t="s">
        <v>38</v>
      </c>
      <c r="C45" s="27">
        <v>0</v>
      </c>
      <c r="D45" s="28">
        <f>C$29</f>
      </c>
      <c r="E45" s="24">
        <f>C45*D45</f>
      </c>
      <c r="F45" s="25" t="s">
        <v>54</v>
      </c>
    </row>
    <row r="46" ht="18" customHeight="1" spans="2:6" x14ac:dyDescent="0.25">
      <c r="B46" s="12" t="s">
        <v>57</v>
      </c>
      <c r="C46" s="27">
        <v>0</v>
      </c>
      <c r="D46" s="28">
        <f>C$30</f>
      </c>
      <c r="E46" s="24">
        <f>C46*D46</f>
      </c>
      <c r="F46" s="25" t="s">
        <v>54</v>
      </c>
    </row>
    <row r="47" ht="18" customHeight="1" spans="2:6" x14ac:dyDescent="0.25">
      <c r="B47" s="12" t="s">
        <v>58</v>
      </c>
      <c r="C47" s="27">
        <v>0</v>
      </c>
      <c r="D47" s="28">
        <f>C$33</f>
      </c>
      <c r="E47" s="24">
        <f>C47*D47</f>
      </c>
      <c r="F47" s="25" t="s">
        <v>54</v>
      </c>
    </row>
    <row r="48" ht="16" customHeight="1" spans="1:6" x14ac:dyDescent="0.25">
      <c r="A48" s="29" t="s">
        <v>59</v>
      </c>
      <c r="B48" s="29"/>
      <c r="C48" s="29"/>
      <c r="D48" s="29"/>
      <c r="E48" s="29"/>
      <c r="F48" s="29"/>
    </row>
    <row r="49" ht="18" customHeight="1" spans="2:6" x14ac:dyDescent="0.25">
      <c r="B49" s="12" t="s">
        <v>40</v>
      </c>
      <c r="C49" s="27">
        <v>0</v>
      </c>
      <c r="D49" s="28">
        <f>C$31</f>
      </c>
      <c r="E49" s="24">
        <f>C49*D49</f>
      </c>
      <c r="F49" s="25" t="s">
        <v>60</v>
      </c>
    </row>
    <row r="50" ht="18" customHeight="1" spans="2:6" x14ac:dyDescent="0.25">
      <c r="B50" s="12" t="s">
        <v>42</v>
      </c>
      <c r="C50" s="27">
        <v>0</v>
      </c>
      <c r="D50" s="28">
        <f>C$32</f>
      </c>
      <c r="E50" s="24">
        <f>C50*D50</f>
      </c>
      <c r="F50" s="25" t="s">
        <v>60</v>
      </c>
    </row>
    <row r="51" ht="16" customHeight="1" spans="1:6" x14ac:dyDescent="0.25">
      <c r="A51" s="30" t="s">
        <v>61</v>
      </c>
      <c r="B51" s="30"/>
      <c r="C51" s="30"/>
      <c r="D51" s="30"/>
      <c r="E51" s="30"/>
      <c r="F51" s="30"/>
    </row>
    <row r="52" ht="18" customHeight="1" spans="2:6" x14ac:dyDescent="0.25">
      <c r="B52" s="12" t="s">
        <v>62</v>
      </c>
      <c r="C52" s="7">
        <v>0</v>
      </c>
      <c r="D52" s="26" t="s">
        <v>56</v>
      </c>
      <c r="E52" s="31">
        <f>C52</f>
      </c>
      <c r="F52" s="32" t="s">
        <v>63</v>
      </c>
    </row>
    <row r="53" ht="18" customHeight="1" spans="2:6" x14ac:dyDescent="0.25">
      <c r="B53" s="12" t="s">
        <v>64</v>
      </c>
      <c r="C53" s="7">
        <v>0</v>
      </c>
      <c r="D53" s="26" t="s">
        <v>56</v>
      </c>
      <c r="E53" s="31">
        <f>C53</f>
      </c>
      <c r="F53" s="32" t="s">
        <v>63</v>
      </c>
    </row>
    <row r="54" ht="18" customHeight="1" spans="2:6" x14ac:dyDescent="0.25">
      <c r="B54" s="12" t="s">
        <v>65</v>
      </c>
      <c r="C54" s="27">
        <v>0</v>
      </c>
      <c r="D54" s="28">
        <f>C$34</f>
      </c>
      <c r="E54" s="31">
        <f>C54*D54</f>
      </c>
      <c r="F54" s="32" t="s">
        <v>63</v>
      </c>
    </row>
    <row r="55" ht="3" customHeight="1" spans="1:6" x14ac:dyDescent="0.25">
      <c r="A55" s="33"/>
      <c r="B55" s="33"/>
      <c r="C55" s="33"/>
      <c r="D55" s="33"/>
      <c r="E55" s="33"/>
      <c r="F55" s="33"/>
    </row>
    <row r="56" ht="20" customHeight="1" spans="1:5" x14ac:dyDescent="0.25">
      <c r="A56" s="34" t="s">
        <v>66</v>
      </c>
      <c r="B56" s="34"/>
      <c r="C56" s="34"/>
      <c r="D56" s="34"/>
      <c r="E56" s="35">
        <f>E38+E39+E40+E41+E42+E43+E44+E45+E46+E47+E49+E50</f>
      </c>
    </row>
    <row r="57" ht="20" customHeight="1" spans="1:5" x14ac:dyDescent="0.25">
      <c r="A57" s="36" t="s">
        <v>67</v>
      </c>
      <c r="B57" s="36"/>
      <c r="C57" s="36"/>
      <c r="D57" s="36"/>
      <c r="E57" s="31">
        <f>E52+E53+E54</f>
      </c>
    </row>
    <row r="58" ht="20" customHeight="1" spans="1:5" x14ac:dyDescent="0.25">
      <c r="A58" s="37" t="s">
        <v>68</v>
      </c>
      <c r="B58" s="37"/>
      <c r="C58" s="37"/>
      <c r="D58" s="37"/>
      <c r="E58" s="38">
        <f>E49+E50</f>
      </c>
    </row>
    <row r="59" ht="3" customHeight="1" spans="1:6" x14ac:dyDescent="0.25">
      <c r="A59" s="33"/>
      <c r="B59" s="33"/>
      <c r="C59" s="33"/>
      <c r="D59" s="33"/>
      <c r="E59" s="33"/>
      <c r="F59" s="33"/>
    </row>
    <row r="60" ht="16" customHeight="1" spans="1:6" x14ac:dyDescent="0.25">
      <c r="A60" s="39" t="s">
        <v>69</v>
      </c>
      <c r="B60" s="39"/>
      <c r="C60" s="39"/>
      <c r="D60" s="39"/>
      <c r="E60" s="39"/>
      <c r="F60" s="39"/>
    </row>
    <row r="61" ht="20" customHeight="1" spans="1:6" x14ac:dyDescent="0.25">
      <c r="A61" s="40" t="s">
        <v>70</v>
      </c>
      <c r="B61" s="40"/>
      <c r="C61" s="40"/>
      <c r="D61" s="40"/>
      <c r="E61" s="41">
        <f>E38+E39+E40+E41+E42+E43+E44+E45+E46+E47+C$10</f>
      </c>
      <c r="F61" s="42" t="s">
        <v>33</v>
      </c>
    </row>
    <row r="62" ht="20" customHeight="1" spans="1:6" x14ac:dyDescent="0.25">
      <c r="A62" s="40" t="s">
        <v>71</v>
      </c>
      <c r="B62" s="40"/>
      <c r="C62" s="40"/>
      <c r="D62" s="40"/>
      <c r="E62" s="41">
        <f>E61+E58</f>
      </c>
      <c r="F62" s="42" t="s">
        <v>72</v>
      </c>
    </row>
    <row r="63" ht="20" customHeight="1" spans="1:5" x14ac:dyDescent="0.25">
      <c r="A63" s="43" t="s">
        <v>73</v>
      </c>
      <c r="B63" s="43"/>
      <c r="C63" s="43"/>
      <c r="D63" s="44">
        <f>C$15</f>
      </c>
      <c r="E63" s="45">
        <f>E61*C$15</f>
      </c>
    </row>
    <row r="64" ht="20" customHeight="1" spans="1:5" x14ac:dyDescent="0.25">
      <c r="A64" s="43" t="s">
        <v>74</v>
      </c>
      <c r="B64" s="43"/>
      <c r="C64" s="43"/>
      <c r="D64" s="44">
        <f>C$16</f>
      </c>
      <c r="E64" s="45">
        <f>E62*C$16</f>
      </c>
    </row>
    <row r="65" ht="20" customHeight="1" spans="1:5" x14ac:dyDescent="0.25">
      <c r="A65" s="43" t="s">
        <v>75</v>
      </c>
      <c r="B65" s="43"/>
      <c r="C65" s="43"/>
      <c r="D65" s="44">
        <f>C$17</f>
      </c>
      <c r="E65" s="45">
        <f>E58*C$17</f>
      </c>
    </row>
    <row r="66" ht="20" customHeight="1" spans="1:5" x14ac:dyDescent="0.25">
      <c r="A66" s="43" t="s">
        <v>76</v>
      </c>
      <c r="B66" s="43"/>
      <c r="C66" s="43"/>
      <c r="D66" s="44">
        <f>C$18</f>
      </c>
      <c r="E66" s="45">
        <f>E62*C$18</f>
      </c>
    </row>
    <row r="67" ht="20" customHeight="1" spans="1:5" x14ac:dyDescent="0.25">
      <c r="A67" s="46" t="s">
        <v>77</v>
      </c>
      <c r="B67" s="46"/>
      <c r="C67" s="46"/>
      <c r="D67" s="46"/>
      <c r="E67" s="47">
        <f>E63+E64+E65+E66</f>
      </c>
    </row>
    <row r="68" ht="3" customHeight="1" spans="1:6" x14ac:dyDescent="0.25">
      <c r="A68" s="33"/>
      <c r="B68" s="33"/>
      <c r="C68" s="33"/>
      <c r="D68" s="33"/>
      <c r="E68" s="33"/>
      <c r="F68" s="33"/>
    </row>
    <row r="69" ht="22" customHeight="1" spans="1:5" x14ac:dyDescent="0.25">
      <c r="A69" s="48" t="s">
        <v>78</v>
      </c>
      <c r="B69" s="48"/>
      <c r="C69" s="48"/>
      <c r="D69" s="44">
        <f>F36</f>
      </c>
      <c r="E69" s="45">
        <f>E56*F36</f>
      </c>
    </row>
    <row r="70" ht="3" customHeight="1" spans="1:6" x14ac:dyDescent="0.25">
      <c r="A70" s="33"/>
      <c r="B70" s="33"/>
      <c r="C70" s="33"/>
      <c r="D70" s="33"/>
      <c r="E70" s="33"/>
      <c r="F70" s="33"/>
    </row>
    <row r="71" ht="30" customHeight="1" spans="1:6" x14ac:dyDescent="0.25">
      <c r="A71" s="49" t="s">
        <v>79</v>
      </c>
      <c r="B71" s="49"/>
      <c r="C71" s="49"/>
      <c r="D71" s="49"/>
      <c r="E71" s="50">
        <f>E56+E57-E67-E69</f>
      </c>
      <c r="F71" s="51" t="s">
        <v>80</v>
      </c>
    </row>
    <row r="72" ht="10" customHeight="1" spans="1:6" x14ac:dyDescent="0.25">
      <c r="A72" s="3"/>
      <c r="B72" s="3"/>
      <c r="C72" s="3"/>
      <c r="D72" s="3"/>
      <c r="E72" s="3"/>
      <c r="F72" s="3"/>
    </row>
    <row r="73" ht="26" customHeight="1" spans="1:6" x14ac:dyDescent="0.25">
      <c r="A73" s="19" t="s">
        <v>81</v>
      </c>
      <c r="B73" s="19"/>
      <c r="C73" s="19"/>
      <c r="D73" s="19"/>
      <c r="E73" s="20" t="s">
        <v>82</v>
      </c>
      <c r="F73" s="16">
        <f>$C$20</f>
      </c>
    </row>
    <row r="74" ht="16" customHeight="1" spans="1:6" x14ac:dyDescent="0.25">
      <c r="A74" s="21" t="s">
        <v>3</v>
      </c>
      <c r="B74" s="22" t="s">
        <v>48</v>
      </c>
      <c r="C74" s="23" t="s">
        <v>49</v>
      </c>
      <c r="D74" s="23" t="s">
        <v>50</v>
      </c>
      <c r="E74" s="23" t="s">
        <v>51</v>
      </c>
      <c r="F74" s="23" t="s">
        <v>52</v>
      </c>
    </row>
    <row r="75" ht="18" customHeight="1" spans="2:6" x14ac:dyDescent="0.25">
      <c r="B75" s="9" t="s">
        <v>53</v>
      </c>
      <c r="E75" s="24">
        <f>C$6</f>
      </c>
      <c r="F75" s="25" t="s">
        <v>54</v>
      </c>
    </row>
    <row r="76" ht="18" customHeight="1" spans="2:6" x14ac:dyDescent="0.25">
      <c r="B76" s="12" t="s">
        <v>55</v>
      </c>
      <c r="C76" s="7">
        <f>C$11</f>
      </c>
      <c r="D76" s="26" t="s">
        <v>56</v>
      </c>
      <c r="E76" s="24">
        <f>C76</f>
      </c>
      <c r="F76" s="25" t="s">
        <v>54</v>
      </c>
    </row>
    <row r="77" ht="18" customHeight="1" spans="2:6" x14ac:dyDescent="0.25">
      <c r="B77" s="12" t="s">
        <v>32</v>
      </c>
      <c r="C77" s="27">
        <v>0</v>
      </c>
      <c r="D77" s="28">
        <f>C$24</f>
      </c>
      <c r="E77" s="24">
        <f>C77*D77</f>
      </c>
      <c r="F77" s="25" t="s">
        <v>54</v>
      </c>
    </row>
    <row r="78" ht="18" customHeight="1" spans="2:6" x14ac:dyDescent="0.25">
      <c r="B78" s="12" t="s">
        <v>34</v>
      </c>
      <c r="C78" s="27">
        <v>0</v>
      </c>
      <c r="D78" s="28">
        <f>C$25</f>
      </c>
      <c r="E78" s="24">
        <f>C78*D78</f>
      </c>
      <c r="F78" s="25" t="s">
        <v>54</v>
      </c>
    </row>
    <row r="79" ht="18" customHeight="1" spans="2:6" x14ac:dyDescent="0.25">
      <c r="B79" s="12" t="s">
        <v>35</v>
      </c>
      <c r="C79" s="27">
        <v>0</v>
      </c>
      <c r="D79" s="28">
        <f>C$26</f>
      </c>
      <c r="E79" s="24">
        <f>C79*D79</f>
      </c>
      <c r="F79" s="25" t="s">
        <v>54</v>
      </c>
    </row>
    <row r="80" ht="18" customHeight="1" spans="2:6" x14ac:dyDescent="0.25">
      <c r="B80" s="12" t="s">
        <v>36</v>
      </c>
      <c r="C80" s="27">
        <v>0</v>
      </c>
      <c r="D80" s="28">
        <f>C$27</f>
      </c>
      <c r="E80" s="24">
        <f>C80*D80</f>
      </c>
      <c r="F80" s="25" t="s">
        <v>54</v>
      </c>
    </row>
    <row r="81" ht="18" customHeight="1" spans="2:6" x14ac:dyDescent="0.25">
      <c r="B81" s="12" t="s">
        <v>37</v>
      </c>
      <c r="C81" s="27">
        <v>0</v>
      </c>
      <c r="D81" s="28">
        <f>C$28</f>
      </c>
      <c r="E81" s="24">
        <f>C81*D81</f>
      </c>
      <c r="F81" s="25" t="s">
        <v>54</v>
      </c>
    </row>
    <row r="82" ht="18" customHeight="1" spans="2:6" x14ac:dyDescent="0.25">
      <c r="B82" s="12" t="s">
        <v>38</v>
      </c>
      <c r="C82" s="27">
        <v>0</v>
      </c>
      <c r="D82" s="28">
        <f>C$29</f>
      </c>
      <c r="E82" s="24">
        <f>C82*D82</f>
      </c>
      <c r="F82" s="25" t="s">
        <v>54</v>
      </c>
    </row>
    <row r="83" ht="18" customHeight="1" spans="2:6" x14ac:dyDescent="0.25">
      <c r="B83" s="12" t="s">
        <v>57</v>
      </c>
      <c r="C83" s="27">
        <v>0</v>
      </c>
      <c r="D83" s="28">
        <f>C$30</f>
      </c>
      <c r="E83" s="24">
        <f>C83*D83</f>
      </c>
      <c r="F83" s="25" t="s">
        <v>54</v>
      </c>
    </row>
    <row r="84" ht="18" customHeight="1" spans="2:6" x14ac:dyDescent="0.25">
      <c r="B84" s="12" t="s">
        <v>58</v>
      </c>
      <c r="C84" s="27">
        <v>0</v>
      </c>
      <c r="D84" s="28">
        <f>C$33</f>
      </c>
      <c r="E84" s="24">
        <f>C84*D84</f>
      </c>
      <c r="F84" s="25" t="s">
        <v>54</v>
      </c>
    </row>
    <row r="85" ht="16" customHeight="1" spans="1:6" x14ac:dyDescent="0.25">
      <c r="A85" s="29" t="s">
        <v>59</v>
      </c>
      <c r="B85" s="29"/>
      <c r="C85" s="29"/>
      <c r="D85" s="29"/>
      <c r="E85" s="29"/>
      <c r="F85" s="29"/>
    </row>
    <row r="86" ht="18" customHeight="1" spans="2:6" x14ac:dyDescent="0.25">
      <c r="B86" s="12" t="s">
        <v>40</v>
      </c>
      <c r="C86" s="27">
        <v>0</v>
      </c>
      <c r="D86" s="28">
        <f>C$31</f>
      </c>
      <c r="E86" s="24">
        <f>C86*D86</f>
      </c>
      <c r="F86" s="25" t="s">
        <v>60</v>
      </c>
    </row>
    <row r="87" ht="18" customHeight="1" spans="2:6" x14ac:dyDescent="0.25">
      <c r="B87" s="12" t="s">
        <v>42</v>
      </c>
      <c r="C87" s="27">
        <v>0</v>
      </c>
      <c r="D87" s="28">
        <f>C$32</f>
      </c>
      <c r="E87" s="24">
        <f>C87*D87</f>
      </c>
      <c r="F87" s="25" t="s">
        <v>60</v>
      </c>
    </row>
    <row r="88" ht="16" customHeight="1" spans="1:6" x14ac:dyDescent="0.25">
      <c r="A88" s="30" t="s">
        <v>61</v>
      </c>
      <c r="B88" s="30"/>
      <c r="C88" s="30"/>
      <c r="D88" s="30"/>
      <c r="E88" s="30"/>
      <c r="F88" s="30"/>
    </row>
    <row r="89" ht="18" customHeight="1" spans="2:6" x14ac:dyDescent="0.25">
      <c r="B89" s="12" t="s">
        <v>62</v>
      </c>
      <c r="C89" s="7">
        <v>0</v>
      </c>
      <c r="D89" s="26" t="s">
        <v>56</v>
      </c>
      <c r="E89" s="31">
        <f>C89</f>
      </c>
      <c r="F89" s="32" t="s">
        <v>63</v>
      </c>
    </row>
    <row r="90" ht="18" customHeight="1" spans="2:6" x14ac:dyDescent="0.25">
      <c r="B90" s="12" t="s">
        <v>64</v>
      </c>
      <c r="C90" s="7">
        <v>0</v>
      </c>
      <c r="D90" s="26" t="s">
        <v>56</v>
      </c>
      <c r="E90" s="31">
        <f>C90</f>
      </c>
      <c r="F90" s="32" t="s">
        <v>63</v>
      </c>
    </row>
    <row r="91" ht="18" customHeight="1" spans="2:6" x14ac:dyDescent="0.25">
      <c r="B91" s="12" t="s">
        <v>65</v>
      </c>
      <c r="C91" s="27">
        <v>0</v>
      </c>
      <c r="D91" s="28">
        <f>C$34</f>
      </c>
      <c r="E91" s="31">
        <f>C91*D91</f>
      </c>
      <c r="F91" s="32" t="s">
        <v>63</v>
      </c>
    </row>
    <row r="92" ht="3" customHeight="1" spans="1:6" x14ac:dyDescent="0.25">
      <c r="A92" s="33"/>
      <c r="B92" s="33"/>
      <c r="C92" s="33"/>
      <c r="D92" s="33"/>
      <c r="E92" s="33"/>
      <c r="F92" s="33"/>
    </row>
    <row r="93" ht="20" customHeight="1" spans="1:5" x14ac:dyDescent="0.25">
      <c r="A93" s="34" t="s">
        <v>66</v>
      </c>
      <c r="B93" s="34"/>
      <c r="C93" s="34"/>
      <c r="D93" s="34"/>
      <c r="E93" s="35">
        <f>E75+E76+E77+E78+E79+E80+E81+E82+E83+E84+E86+E87</f>
      </c>
    </row>
    <row r="94" ht="20" customHeight="1" spans="1:5" x14ac:dyDescent="0.25">
      <c r="A94" s="36" t="s">
        <v>67</v>
      </c>
      <c r="B94" s="36"/>
      <c r="C94" s="36"/>
      <c r="D94" s="36"/>
      <c r="E94" s="31">
        <f>E89+E90+E91</f>
      </c>
    </row>
    <row r="95" ht="20" customHeight="1" spans="1:5" x14ac:dyDescent="0.25">
      <c r="A95" s="37" t="s">
        <v>68</v>
      </c>
      <c r="B95" s="37"/>
      <c r="C95" s="37"/>
      <c r="D95" s="37"/>
      <c r="E95" s="38">
        <f>E86+E87</f>
      </c>
    </row>
    <row r="96" ht="3" customHeight="1" spans="1:6" x14ac:dyDescent="0.25">
      <c r="A96" s="33"/>
      <c r="B96" s="33"/>
      <c r="C96" s="33"/>
      <c r="D96" s="33"/>
      <c r="E96" s="33"/>
      <c r="F96" s="33"/>
    </row>
    <row r="97" ht="16" customHeight="1" spans="1:6" x14ac:dyDescent="0.25">
      <c r="A97" s="39" t="s">
        <v>69</v>
      </c>
      <c r="B97" s="39"/>
      <c r="C97" s="39"/>
      <c r="D97" s="39"/>
      <c r="E97" s="39"/>
      <c r="F97" s="39"/>
    </row>
    <row r="98" ht="20" customHeight="1" spans="1:6" x14ac:dyDescent="0.25">
      <c r="A98" s="40" t="s">
        <v>70</v>
      </c>
      <c r="B98" s="40"/>
      <c r="C98" s="40"/>
      <c r="D98" s="40"/>
      <c r="E98" s="41">
        <f>E75+E76+E77+E78+E79+E80+E81+E82+E83+E84+C$10</f>
      </c>
      <c r="F98" s="42" t="s">
        <v>33</v>
      </c>
    </row>
    <row r="99" ht="20" customHeight="1" spans="1:6" x14ac:dyDescent="0.25">
      <c r="A99" s="40" t="s">
        <v>71</v>
      </c>
      <c r="B99" s="40"/>
      <c r="C99" s="40"/>
      <c r="D99" s="40"/>
      <c r="E99" s="41">
        <f>E98+E95</f>
      </c>
      <c r="F99" s="42" t="s">
        <v>72</v>
      </c>
    </row>
    <row r="100" ht="20" customHeight="1" spans="1:5" x14ac:dyDescent="0.25">
      <c r="A100" s="43" t="s">
        <v>73</v>
      </c>
      <c r="B100" s="43"/>
      <c r="C100" s="43"/>
      <c r="D100" s="44">
        <f>C$15</f>
      </c>
      <c r="E100" s="45">
        <f>E98*C$15</f>
      </c>
    </row>
    <row r="101" ht="20" customHeight="1" spans="1:5" x14ac:dyDescent="0.25">
      <c r="A101" s="43" t="s">
        <v>74</v>
      </c>
      <c r="B101" s="43"/>
      <c r="C101" s="43"/>
      <c r="D101" s="44">
        <f>C$16</f>
      </c>
      <c r="E101" s="45">
        <f>E99*C$16</f>
      </c>
    </row>
    <row r="102" ht="20" customHeight="1" spans="1:5" x14ac:dyDescent="0.25">
      <c r="A102" s="43" t="s">
        <v>75</v>
      </c>
      <c r="B102" s="43"/>
      <c r="C102" s="43"/>
      <c r="D102" s="44">
        <f>C$17</f>
      </c>
      <c r="E102" s="45">
        <f>E95*C$17</f>
      </c>
    </row>
    <row r="103" ht="20" customHeight="1" spans="1:5" x14ac:dyDescent="0.25">
      <c r="A103" s="43" t="s">
        <v>76</v>
      </c>
      <c r="B103" s="43"/>
      <c r="C103" s="43"/>
      <c r="D103" s="44">
        <f>C$18</f>
      </c>
      <c r="E103" s="45">
        <f>E99*C$18</f>
      </c>
    </row>
    <row r="104" ht="20" customHeight="1" spans="1:5" x14ac:dyDescent="0.25">
      <c r="A104" s="46" t="s">
        <v>77</v>
      </c>
      <c r="B104" s="46"/>
      <c r="C104" s="46"/>
      <c r="D104" s="46"/>
      <c r="E104" s="47">
        <f>E100+E101+E102+E103</f>
      </c>
    </row>
    <row r="105" ht="3" customHeight="1" spans="1:6" x14ac:dyDescent="0.25">
      <c r="A105" s="33"/>
      <c r="B105" s="33"/>
      <c r="C105" s="33"/>
      <c r="D105" s="33"/>
      <c r="E105" s="33"/>
      <c r="F105" s="33"/>
    </row>
    <row r="106" ht="22" customHeight="1" spans="1:5" x14ac:dyDescent="0.25">
      <c r="A106" s="48" t="s">
        <v>78</v>
      </c>
      <c r="B106" s="48"/>
      <c r="C106" s="48"/>
      <c r="D106" s="44">
        <f>F73</f>
      </c>
      <c r="E106" s="45">
        <f>E93*F73</f>
      </c>
    </row>
    <row r="107" ht="3" customHeight="1" spans="1:6" x14ac:dyDescent="0.25">
      <c r="A107" s="33"/>
      <c r="B107" s="33"/>
      <c r="C107" s="33"/>
      <c r="D107" s="33"/>
      <c r="E107" s="33"/>
      <c r="F107" s="33"/>
    </row>
    <row r="108" ht="30" customHeight="1" spans="1:6" x14ac:dyDescent="0.25">
      <c r="A108" s="49" t="s">
        <v>79</v>
      </c>
      <c r="B108" s="49"/>
      <c r="C108" s="49"/>
      <c r="D108" s="49"/>
      <c r="E108" s="50">
        <f>E93+E94-E104-E106</f>
      </c>
      <c r="F108" s="51" t="s">
        <v>80</v>
      </c>
    </row>
    <row r="109" ht="10" customHeight="1" spans="1:6" x14ac:dyDescent="0.25">
      <c r="A109" s="3"/>
      <c r="B109" s="3"/>
      <c r="C109" s="3"/>
      <c r="D109" s="3"/>
      <c r="E109" s="3"/>
      <c r="F109" s="3"/>
    </row>
    <row r="110" ht="26" customHeight="1" spans="1:6" x14ac:dyDescent="0.25">
      <c r="A110" s="19" t="s">
        <v>83</v>
      </c>
      <c r="B110" s="19"/>
      <c r="C110" s="19"/>
      <c r="D110" s="19"/>
      <c r="E110" s="20" t="s">
        <v>47</v>
      </c>
      <c r="F110" s="16">
        <f>$C$20</f>
      </c>
    </row>
    <row r="111" ht="16" customHeight="1" spans="1:6" x14ac:dyDescent="0.25">
      <c r="A111" s="21" t="s">
        <v>3</v>
      </c>
      <c r="B111" s="22" t="s">
        <v>48</v>
      </c>
      <c r="C111" s="23" t="s">
        <v>49</v>
      </c>
      <c r="D111" s="23" t="s">
        <v>50</v>
      </c>
      <c r="E111" s="23" t="s">
        <v>51</v>
      </c>
      <c r="F111" s="23" t="s">
        <v>52</v>
      </c>
    </row>
    <row r="112" ht="18" customHeight="1" spans="2:6" x14ac:dyDescent="0.25">
      <c r="B112" s="9" t="s">
        <v>53</v>
      </c>
      <c r="E112" s="24">
        <f>C$6</f>
      </c>
      <c r="F112" s="25" t="s">
        <v>54</v>
      </c>
    </row>
    <row r="113" ht="18" customHeight="1" spans="2:6" x14ac:dyDescent="0.25">
      <c r="B113" s="12" t="s">
        <v>55</v>
      </c>
      <c r="C113" s="7">
        <f>C$11</f>
      </c>
      <c r="D113" s="26" t="s">
        <v>56</v>
      </c>
      <c r="E113" s="24">
        <f>C113</f>
      </c>
      <c r="F113" s="25" t="s">
        <v>54</v>
      </c>
    </row>
    <row r="114" ht="18" customHeight="1" spans="2:6" x14ac:dyDescent="0.25">
      <c r="B114" s="12" t="s">
        <v>32</v>
      </c>
      <c r="C114" s="27">
        <v>0</v>
      </c>
      <c r="D114" s="28">
        <f>C$24</f>
      </c>
      <c r="E114" s="24">
        <f>C114*D114</f>
      </c>
      <c r="F114" s="25" t="s">
        <v>54</v>
      </c>
    </row>
    <row r="115" ht="18" customHeight="1" spans="2:6" x14ac:dyDescent="0.25">
      <c r="B115" s="12" t="s">
        <v>34</v>
      </c>
      <c r="C115" s="27">
        <v>0</v>
      </c>
      <c r="D115" s="28">
        <f>C$25</f>
      </c>
      <c r="E115" s="24">
        <f>C115*D115</f>
      </c>
      <c r="F115" s="25" t="s">
        <v>54</v>
      </c>
    </row>
    <row r="116" ht="18" customHeight="1" spans="2:6" x14ac:dyDescent="0.25">
      <c r="B116" s="12" t="s">
        <v>35</v>
      </c>
      <c r="C116" s="27">
        <v>0</v>
      </c>
      <c r="D116" s="28">
        <f>C$26</f>
      </c>
      <c r="E116" s="24">
        <f>C116*D116</f>
      </c>
      <c r="F116" s="25" t="s">
        <v>54</v>
      </c>
    </row>
    <row r="117" ht="18" customHeight="1" spans="2:6" x14ac:dyDescent="0.25">
      <c r="B117" s="12" t="s">
        <v>36</v>
      </c>
      <c r="C117" s="27">
        <v>0</v>
      </c>
      <c r="D117" s="28">
        <f>C$27</f>
      </c>
      <c r="E117" s="24">
        <f>C117*D117</f>
      </c>
      <c r="F117" s="25" t="s">
        <v>54</v>
      </c>
    </row>
    <row r="118" ht="18" customHeight="1" spans="2:6" x14ac:dyDescent="0.25">
      <c r="B118" s="12" t="s">
        <v>37</v>
      </c>
      <c r="C118" s="27">
        <v>0</v>
      </c>
      <c r="D118" s="28">
        <f>C$28</f>
      </c>
      <c r="E118" s="24">
        <f>C118*D118</f>
      </c>
      <c r="F118" s="25" t="s">
        <v>54</v>
      </c>
    </row>
    <row r="119" ht="18" customHeight="1" spans="2:6" x14ac:dyDescent="0.25">
      <c r="B119" s="12" t="s">
        <v>38</v>
      </c>
      <c r="C119" s="27">
        <v>0</v>
      </c>
      <c r="D119" s="28">
        <f>C$29</f>
      </c>
      <c r="E119" s="24">
        <f>C119*D119</f>
      </c>
      <c r="F119" s="25" t="s">
        <v>54</v>
      </c>
    </row>
    <row r="120" ht="18" customHeight="1" spans="2:6" x14ac:dyDescent="0.25">
      <c r="B120" s="12" t="s">
        <v>57</v>
      </c>
      <c r="C120" s="27">
        <v>0</v>
      </c>
      <c r="D120" s="28">
        <f>C$30</f>
      </c>
      <c r="E120" s="24">
        <f>C120*D120</f>
      </c>
      <c r="F120" s="25" t="s">
        <v>54</v>
      </c>
    </row>
    <row r="121" ht="18" customHeight="1" spans="2:6" x14ac:dyDescent="0.25">
      <c r="B121" s="12" t="s">
        <v>58</v>
      </c>
      <c r="C121" s="27">
        <v>0</v>
      </c>
      <c r="D121" s="28">
        <f>C$33</f>
      </c>
      <c r="E121" s="24">
        <f>C121*D121</f>
      </c>
      <c r="F121" s="25" t="s">
        <v>54</v>
      </c>
    </row>
    <row r="122" ht="16" customHeight="1" spans="1:6" x14ac:dyDescent="0.25">
      <c r="A122" s="29" t="s">
        <v>59</v>
      </c>
      <c r="B122" s="29"/>
      <c r="C122" s="29"/>
      <c r="D122" s="29"/>
      <c r="E122" s="29"/>
      <c r="F122" s="29"/>
    </row>
    <row r="123" ht="18" customHeight="1" spans="2:6" x14ac:dyDescent="0.25">
      <c r="B123" s="12" t="s">
        <v>40</v>
      </c>
      <c r="C123" s="27">
        <v>0</v>
      </c>
      <c r="D123" s="28">
        <f>C$31</f>
      </c>
      <c r="E123" s="24">
        <f>C123*D123</f>
      </c>
      <c r="F123" s="25" t="s">
        <v>60</v>
      </c>
    </row>
    <row r="124" ht="18" customHeight="1" spans="2:6" x14ac:dyDescent="0.25">
      <c r="B124" s="12" t="s">
        <v>42</v>
      </c>
      <c r="C124" s="27">
        <v>0</v>
      </c>
      <c r="D124" s="28">
        <f>C$32</f>
      </c>
      <c r="E124" s="24">
        <f>C124*D124</f>
      </c>
      <c r="F124" s="25" t="s">
        <v>60</v>
      </c>
    </row>
    <row r="125" ht="16" customHeight="1" spans="1:6" x14ac:dyDescent="0.25">
      <c r="A125" s="30" t="s">
        <v>61</v>
      </c>
      <c r="B125" s="30"/>
      <c r="C125" s="30"/>
      <c r="D125" s="30"/>
      <c r="E125" s="30"/>
      <c r="F125" s="30"/>
    </row>
    <row r="126" ht="18" customHeight="1" spans="2:6" x14ac:dyDescent="0.25">
      <c r="B126" s="12" t="s">
        <v>62</v>
      </c>
      <c r="C126" s="7">
        <v>0</v>
      </c>
      <c r="D126" s="26" t="s">
        <v>56</v>
      </c>
      <c r="E126" s="31">
        <f>C126</f>
      </c>
      <c r="F126" s="32" t="s">
        <v>63</v>
      </c>
    </row>
    <row r="127" ht="18" customHeight="1" spans="2:6" x14ac:dyDescent="0.25">
      <c r="B127" s="12" t="s">
        <v>64</v>
      </c>
      <c r="C127" s="7">
        <v>0</v>
      </c>
      <c r="D127" s="26" t="s">
        <v>56</v>
      </c>
      <c r="E127" s="31">
        <f>C127</f>
      </c>
      <c r="F127" s="32" t="s">
        <v>63</v>
      </c>
    </row>
    <row r="128" ht="18" customHeight="1" spans="2:6" x14ac:dyDescent="0.25">
      <c r="B128" s="12" t="s">
        <v>65</v>
      </c>
      <c r="C128" s="27">
        <v>0</v>
      </c>
      <c r="D128" s="28">
        <f>C$34</f>
      </c>
      <c r="E128" s="31">
        <f>C128*D128</f>
      </c>
      <c r="F128" s="32" t="s">
        <v>63</v>
      </c>
    </row>
    <row r="129" ht="3" customHeight="1" spans="1:6" x14ac:dyDescent="0.25">
      <c r="A129" s="33"/>
      <c r="B129" s="33"/>
      <c r="C129" s="33"/>
      <c r="D129" s="33"/>
      <c r="E129" s="33"/>
      <c r="F129" s="33"/>
    </row>
    <row r="130" ht="20" customHeight="1" spans="1:5" x14ac:dyDescent="0.25">
      <c r="A130" s="34" t="s">
        <v>66</v>
      </c>
      <c r="B130" s="34"/>
      <c r="C130" s="34"/>
      <c r="D130" s="34"/>
      <c r="E130" s="35">
        <f>E112+E113+E114+E115+E116+E117+E118+E119+E120+E121+E123+E124</f>
      </c>
    </row>
    <row r="131" ht="20" customHeight="1" spans="1:5" x14ac:dyDescent="0.25">
      <c r="A131" s="36" t="s">
        <v>67</v>
      </c>
      <c r="B131" s="36"/>
      <c r="C131" s="36"/>
      <c r="D131" s="36"/>
      <c r="E131" s="31">
        <f>E126+E127+E128</f>
      </c>
    </row>
    <row r="132" ht="20" customHeight="1" spans="1:5" x14ac:dyDescent="0.25">
      <c r="A132" s="37" t="s">
        <v>68</v>
      </c>
      <c r="B132" s="37"/>
      <c r="C132" s="37"/>
      <c r="D132" s="37"/>
      <c r="E132" s="38">
        <f>E123+E124</f>
      </c>
    </row>
    <row r="133" ht="3" customHeight="1" spans="1:6" x14ac:dyDescent="0.25">
      <c r="A133" s="33"/>
      <c r="B133" s="33"/>
      <c r="C133" s="33"/>
      <c r="D133" s="33"/>
      <c r="E133" s="33"/>
      <c r="F133" s="33"/>
    </row>
    <row r="134" ht="16" customHeight="1" spans="1:6" x14ac:dyDescent="0.25">
      <c r="A134" s="39" t="s">
        <v>69</v>
      </c>
      <c r="B134" s="39"/>
      <c r="C134" s="39"/>
      <c r="D134" s="39"/>
      <c r="E134" s="39"/>
      <c r="F134" s="39"/>
    </row>
    <row r="135" ht="20" customHeight="1" spans="1:6" x14ac:dyDescent="0.25">
      <c r="A135" s="40" t="s">
        <v>70</v>
      </c>
      <c r="B135" s="40"/>
      <c r="C135" s="40"/>
      <c r="D135" s="40"/>
      <c r="E135" s="41">
        <f>E112+E113+E114+E115+E116+E117+E118+E119+E120+E121+C$10</f>
      </c>
      <c r="F135" s="42" t="s">
        <v>33</v>
      </c>
    </row>
    <row r="136" ht="20" customHeight="1" spans="1:6" x14ac:dyDescent="0.25">
      <c r="A136" s="40" t="s">
        <v>71</v>
      </c>
      <c r="B136" s="40"/>
      <c r="C136" s="40"/>
      <c r="D136" s="40"/>
      <c r="E136" s="41">
        <f>E135+E132</f>
      </c>
      <c r="F136" s="42" t="s">
        <v>72</v>
      </c>
    </row>
    <row r="137" ht="20" customHeight="1" spans="1:5" x14ac:dyDescent="0.25">
      <c r="A137" s="43" t="s">
        <v>73</v>
      </c>
      <c r="B137" s="43"/>
      <c r="C137" s="43"/>
      <c r="D137" s="44">
        <f>C$15</f>
      </c>
      <c r="E137" s="45">
        <f>E135*C$15</f>
      </c>
    </row>
    <row r="138" ht="20" customHeight="1" spans="1:5" x14ac:dyDescent="0.25">
      <c r="A138" s="43" t="s">
        <v>74</v>
      </c>
      <c r="B138" s="43"/>
      <c r="C138" s="43"/>
      <c r="D138" s="44">
        <f>C$16</f>
      </c>
      <c r="E138" s="45">
        <f>E136*C$16</f>
      </c>
    </row>
    <row r="139" ht="20" customHeight="1" spans="1:5" x14ac:dyDescent="0.25">
      <c r="A139" s="43" t="s">
        <v>75</v>
      </c>
      <c r="B139" s="43"/>
      <c r="C139" s="43"/>
      <c r="D139" s="44">
        <f>C$17</f>
      </c>
      <c r="E139" s="45">
        <f>E132*C$17</f>
      </c>
    </row>
    <row r="140" ht="20" customHeight="1" spans="1:5" x14ac:dyDescent="0.25">
      <c r="A140" s="43" t="s">
        <v>76</v>
      </c>
      <c r="B140" s="43"/>
      <c r="C140" s="43"/>
      <c r="D140" s="44">
        <f>C$18</f>
      </c>
      <c r="E140" s="45">
        <f>E136*C$18</f>
      </c>
    </row>
    <row r="141" ht="20" customHeight="1" spans="1:5" x14ac:dyDescent="0.25">
      <c r="A141" s="46" t="s">
        <v>77</v>
      </c>
      <c r="B141" s="46"/>
      <c r="C141" s="46"/>
      <c r="D141" s="46"/>
      <c r="E141" s="47">
        <f>E137+E138+E139+E140</f>
      </c>
    </row>
    <row r="142" ht="3" customHeight="1" spans="1:6" x14ac:dyDescent="0.25">
      <c r="A142" s="33"/>
      <c r="B142" s="33"/>
      <c r="C142" s="33"/>
      <c r="D142" s="33"/>
      <c r="E142" s="33"/>
      <c r="F142" s="33"/>
    </row>
    <row r="143" ht="22" customHeight="1" spans="1:5" x14ac:dyDescent="0.25">
      <c r="A143" s="48" t="s">
        <v>78</v>
      </c>
      <c r="B143" s="48"/>
      <c r="C143" s="48"/>
      <c r="D143" s="44">
        <f>F110</f>
      </c>
      <c r="E143" s="45">
        <f>E130*F110</f>
      </c>
    </row>
    <row r="144" ht="3" customHeight="1" spans="1:6" x14ac:dyDescent="0.25">
      <c r="A144" s="33"/>
      <c r="B144" s="33"/>
      <c r="C144" s="33"/>
      <c r="D144" s="33"/>
      <c r="E144" s="33"/>
      <c r="F144" s="33"/>
    </row>
    <row r="145" ht="30" customHeight="1" spans="1:6" x14ac:dyDescent="0.25">
      <c r="A145" s="49" t="s">
        <v>79</v>
      </c>
      <c r="B145" s="49"/>
      <c r="C145" s="49"/>
      <c r="D145" s="49"/>
      <c r="E145" s="50">
        <f>E130+E131-E141-E143</f>
      </c>
      <c r="F145" s="51" t="s">
        <v>80</v>
      </c>
    </row>
    <row r="146" ht="10" customHeight="1" spans="1:6" x14ac:dyDescent="0.25">
      <c r="A146" s="3"/>
      <c r="B146" s="3"/>
      <c r="C146" s="3"/>
      <c r="D146" s="3"/>
      <c r="E146" s="3"/>
      <c r="F146" s="3"/>
    </row>
    <row r="147" ht="26" customHeight="1" spans="1:6" x14ac:dyDescent="0.25">
      <c r="A147" s="19" t="s">
        <v>84</v>
      </c>
      <c r="B147" s="19"/>
      <c r="C147" s="19"/>
      <c r="D147" s="19"/>
      <c r="E147" s="20" t="s">
        <v>85</v>
      </c>
      <c r="F147" s="16">
        <f>$C$20</f>
      </c>
    </row>
    <row r="148" ht="16" customHeight="1" spans="1:6" x14ac:dyDescent="0.25">
      <c r="A148" s="21" t="s">
        <v>3</v>
      </c>
      <c r="B148" s="22" t="s">
        <v>48</v>
      </c>
      <c r="C148" s="23" t="s">
        <v>49</v>
      </c>
      <c r="D148" s="23" t="s">
        <v>50</v>
      </c>
      <c r="E148" s="23" t="s">
        <v>51</v>
      </c>
      <c r="F148" s="23" t="s">
        <v>52</v>
      </c>
    </row>
    <row r="149" ht="18" customHeight="1" spans="2:6" x14ac:dyDescent="0.25">
      <c r="B149" s="9" t="s">
        <v>53</v>
      </c>
      <c r="E149" s="24">
        <f>C$6</f>
      </c>
      <c r="F149" s="25" t="s">
        <v>54</v>
      </c>
    </row>
    <row r="150" ht="18" customHeight="1" spans="2:6" x14ac:dyDescent="0.25">
      <c r="B150" s="12" t="s">
        <v>55</v>
      </c>
      <c r="C150" s="7">
        <f>C$11</f>
      </c>
      <c r="D150" s="26" t="s">
        <v>56</v>
      </c>
      <c r="E150" s="24">
        <f>C150</f>
      </c>
      <c r="F150" s="25" t="s">
        <v>54</v>
      </c>
    </row>
    <row r="151" ht="18" customHeight="1" spans="2:6" x14ac:dyDescent="0.25">
      <c r="B151" s="12" t="s">
        <v>32</v>
      </c>
      <c r="C151" s="27">
        <v>0</v>
      </c>
      <c r="D151" s="28">
        <f>C$24</f>
      </c>
      <c r="E151" s="24">
        <f>C151*D151</f>
      </c>
      <c r="F151" s="25" t="s">
        <v>54</v>
      </c>
    </row>
    <row r="152" ht="18" customHeight="1" spans="2:6" x14ac:dyDescent="0.25">
      <c r="B152" s="12" t="s">
        <v>34</v>
      </c>
      <c r="C152" s="27">
        <v>0</v>
      </c>
      <c r="D152" s="28">
        <f>C$25</f>
      </c>
      <c r="E152" s="24">
        <f>C152*D152</f>
      </c>
      <c r="F152" s="25" t="s">
        <v>54</v>
      </c>
    </row>
    <row r="153" ht="18" customHeight="1" spans="2:6" x14ac:dyDescent="0.25">
      <c r="B153" s="12" t="s">
        <v>35</v>
      </c>
      <c r="C153" s="27">
        <v>0</v>
      </c>
      <c r="D153" s="28">
        <f>C$26</f>
      </c>
      <c r="E153" s="24">
        <f>C153*D153</f>
      </c>
      <c r="F153" s="25" t="s">
        <v>54</v>
      </c>
    </row>
    <row r="154" ht="18" customHeight="1" spans="2:6" x14ac:dyDescent="0.25">
      <c r="B154" s="12" t="s">
        <v>36</v>
      </c>
      <c r="C154" s="27">
        <v>0</v>
      </c>
      <c r="D154" s="28">
        <f>C$27</f>
      </c>
      <c r="E154" s="24">
        <f>C154*D154</f>
      </c>
      <c r="F154" s="25" t="s">
        <v>54</v>
      </c>
    </row>
    <row r="155" ht="18" customHeight="1" spans="2:6" x14ac:dyDescent="0.25">
      <c r="B155" s="12" t="s">
        <v>37</v>
      </c>
      <c r="C155" s="27">
        <v>0</v>
      </c>
      <c r="D155" s="28">
        <f>C$28</f>
      </c>
      <c r="E155" s="24">
        <f>C155*D155</f>
      </c>
      <c r="F155" s="25" t="s">
        <v>54</v>
      </c>
    </row>
    <row r="156" ht="18" customHeight="1" spans="2:6" x14ac:dyDescent="0.25">
      <c r="B156" s="12" t="s">
        <v>38</v>
      </c>
      <c r="C156" s="27">
        <v>0</v>
      </c>
      <c r="D156" s="28">
        <f>C$29</f>
      </c>
      <c r="E156" s="24">
        <f>C156*D156</f>
      </c>
      <c r="F156" s="25" t="s">
        <v>54</v>
      </c>
    </row>
    <row r="157" ht="18" customHeight="1" spans="2:6" x14ac:dyDescent="0.25">
      <c r="B157" s="12" t="s">
        <v>57</v>
      </c>
      <c r="C157" s="27">
        <v>0</v>
      </c>
      <c r="D157" s="28">
        <f>C$30</f>
      </c>
      <c r="E157" s="24">
        <f>C157*D157</f>
      </c>
      <c r="F157" s="25" t="s">
        <v>54</v>
      </c>
    </row>
    <row r="158" ht="18" customHeight="1" spans="2:6" x14ac:dyDescent="0.25">
      <c r="B158" s="12" t="s">
        <v>58</v>
      </c>
      <c r="C158" s="27">
        <v>0</v>
      </c>
      <c r="D158" s="28">
        <f>C$33</f>
      </c>
      <c r="E158" s="24">
        <f>C158*D158</f>
      </c>
      <c r="F158" s="25" t="s">
        <v>54</v>
      </c>
    </row>
    <row r="159" ht="16" customHeight="1" spans="1:6" x14ac:dyDescent="0.25">
      <c r="A159" s="29" t="s">
        <v>59</v>
      </c>
      <c r="B159" s="29"/>
      <c r="C159" s="29"/>
      <c r="D159" s="29"/>
      <c r="E159" s="29"/>
      <c r="F159" s="29"/>
    </row>
    <row r="160" ht="18" customHeight="1" spans="2:6" x14ac:dyDescent="0.25">
      <c r="B160" s="12" t="s">
        <v>40</v>
      </c>
      <c r="C160" s="27">
        <v>0</v>
      </c>
      <c r="D160" s="28">
        <f>C$31</f>
      </c>
      <c r="E160" s="24">
        <f>C160*D160</f>
      </c>
      <c r="F160" s="25" t="s">
        <v>60</v>
      </c>
    </row>
    <row r="161" ht="18" customHeight="1" spans="2:6" x14ac:dyDescent="0.25">
      <c r="B161" s="12" t="s">
        <v>42</v>
      </c>
      <c r="C161" s="27">
        <v>0</v>
      </c>
      <c r="D161" s="28">
        <f>C$32</f>
      </c>
      <c r="E161" s="24">
        <f>C161*D161</f>
      </c>
      <c r="F161" s="25" t="s">
        <v>60</v>
      </c>
    </row>
    <row r="162" ht="16" customHeight="1" spans="1:6" x14ac:dyDescent="0.25">
      <c r="A162" s="30" t="s">
        <v>61</v>
      </c>
      <c r="B162" s="30"/>
      <c r="C162" s="30"/>
      <c r="D162" s="30"/>
      <c r="E162" s="30"/>
      <c r="F162" s="30"/>
    </row>
    <row r="163" ht="18" customHeight="1" spans="2:6" x14ac:dyDescent="0.25">
      <c r="B163" s="12" t="s">
        <v>62</v>
      </c>
      <c r="C163" s="7">
        <v>0</v>
      </c>
      <c r="D163" s="26" t="s">
        <v>56</v>
      </c>
      <c r="E163" s="31">
        <f>C163</f>
      </c>
      <c r="F163" s="32" t="s">
        <v>63</v>
      </c>
    </row>
    <row r="164" ht="18" customHeight="1" spans="2:6" x14ac:dyDescent="0.25">
      <c r="B164" s="12" t="s">
        <v>64</v>
      </c>
      <c r="C164" s="7">
        <v>0</v>
      </c>
      <c r="D164" s="26" t="s">
        <v>56</v>
      </c>
      <c r="E164" s="31">
        <f>C164</f>
      </c>
      <c r="F164" s="32" t="s">
        <v>63</v>
      </c>
    </row>
    <row r="165" ht="18" customHeight="1" spans="2:6" x14ac:dyDescent="0.25">
      <c r="B165" s="12" t="s">
        <v>65</v>
      </c>
      <c r="C165" s="27">
        <v>0</v>
      </c>
      <c r="D165" s="28">
        <f>C$34</f>
      </c>
      <c r="E165" s="31">
        <f>C165*D165</f>
      </c>
      <c r="F165" s="32" t="s">
        <v>63</v>
      </c>
    </row>
    <row r="166" ht="3" customHeight="1" spans="1:6" x14ac:dyDescent="0.25">
      <c r="A166" s="33"/>
      <c r="B166" s="33"/>
      <c r="C166" s="33"/>
      <c r="D166" s="33"/>
      <c r="E166" s="33"/>
      <c r="F166" s="33"/>
    </row>
    <row r="167" ht="20" customHeight="1" spans="1:5" x14ac:dyDescent="0.25">
      <c r="A167" s="34" t="s">
        <v>66</v>
      </c>
      <c r="B167" s="34"/>
      <c r="C167" s="34"/>
      <c r="D167" s="34"/>
      <c r="E167" s="35">
        <f>E149+E150+E151+E152+E153+E154+E155+E156+E157+E158+E160+E161</f>
      </c>
    </row>
    <row r="168" ht="20" customHeight="1" spans="1:5" x14ac:dyDescent="0.25">
      <c r="A168" s="36" t="s">
        <v>67</v>
      </c>
      <c r="B168" s="36"/>
      <c r="C168" s="36"/>
      <c r="D168" s="36"/>
      <c r="E168" s="31">
        <f>E163+E164+E165</f>
      </c>
    </row>
    <row r="169" ht="20" customHeight="1" spans="1:5" x14ac:dyDescent="0.25">
      <c r="A169" s="37" t="s">
        <v>68</v>
      </c>
      <c r="B169" s="37"/>
      <c r="C169" s="37"/>
      <c r="D169" s="37"/>
      <c r="E169" s="38">
        <f>E160+E161</f>
      </c>
    </row>
    <row r="170" ht="3" customHeight="1" spans="1:6" x14ac:dyDescent="0.25">
      <c r="A170" s="33"/>
      <c r="B170" s="33"/>
      <c r="C170" s="33"/>
      <c r="D170" s="33"/>
      <c r="E170" s="33"/>
      <c r="F170" s="33"/>
    </row>
    <row r="171" ht="16" customHeight="1" spans="1:6" x14ac:dyDescent="0.25">
      <c r="A171" s="39" t="s">
        <v>69</v>
      </c>
      <c r="B171" s="39"/>
      <c r="C171" s="39"/>
      <c r="D171" s="39"/>
      <c r="E171" s="39"/>
      <c r="F171" s="39"/>
    </row>
    <row r="172" ht="20" customHeight="1" spans="1:6" x14ac:dyDescent="0.25">
      <c r="A172" s="40" t="s">
        <v>70</v>
      </c>
      <c r="B172" s="40"/>
      <c r="C172" s="40"/>
      <c r="D172" s="40"/>
      <c r="E172" s="41">
        <f>E149+E150+E151+E152+E153+E154+E155+E156+E157+E158+C$10</f>
      </c>
      <c r="F172" s="42" t="s">
        <v>33</v>
      </c>
    </row>
    <row r="173" ht="20" customHeight="1" spans="1:6" x14ac:dyDescent="0.25">
      <c r="A173" s="40" t="s">
        <v>71</v>
      </c>
      <c r="B173" s="40"/>
      <c r="C173" s="40"/>
      <c r="D173" s="40"/>
      <c r="E173" s="41">
        <f>E172+E169</f>
      </c>
      <c r="F173" s="42" t="s">
        <v>72</v>
      </c>
    </row>
    <row r="174" ht="20" customHeight="1" spans="1:5" x14ac:dyDescent="0.25">
      <c r="A174" s="43" t="s">
        <v>73</v>
      </c>
      <c r="B174" s="43"/>
      <c r="C174" s="43"/>
      <c r="D174" s="44">
        <f>C$15</f>
      </c>
      <c r="E174" s="45">
        <f>E172*C$15</f>
      </c>
    </row>
    <row r="175" ht="20" customHeight="1" spans="1:5" x14ac:dyDescent="0.25">
      <c r="A175" s="43" t="s">
        <v>74</v>
      </c>
      <c r="B175" s="43"/>
      <c r="C175" s="43"/>
      <c r="D175" s="44">
        <f>C$16</f>
      </c>
      <c r="E175" s="45">
        <f>E173*C$16</f>
      </c>
    </row>
    <row r="176" ht="20" customHeight="1" spans="1:5" x14ac:dyDescent="0.25">
      <c r="A176" s="43" t="s">
        <v>75</v>
      </c>
      <c r="B176" s="43"/>
      <c r="C176" s="43"/>
      <c r="D176" s="44">
        <f>C$17</f>
      </c>
      <c r="E176" s="45">
        <f>E169*C$17</f>
      </c>
    </row>
    <row r="177" ht="20" customHeight="1" spans="1:5" x14ac:dyDescent="0.25">
      <c r="A177" s="43" t="s">
        <v>76</v>
      </c>
      <c r="B177" s="43"/>
      <c r="C177" s="43"/>
      <c r="D177" s="44">
        <f>C$18</f>
      </c>
      <c r="E177" s="45">
        <f>E173*C$18</f>
      </c>
    </row>
    <row r="178" ht="20" customHeight="1" spans="1:5" x14ac:dyDescent="0.25">
      <c r="A178" s="46" t="s">
        <v>77</v>
      </c>
      <c r="B178" s="46"/>
      <c r="C178" s="46"/>
      <c r="D178" s="46"/>
      <c r="E178" s="47">
        <f>E174+E175+E176+E177</f>
      </c>
    </row>
    <row r="179" ht="3" customHeight="1" spans="1:6" x14ac:dyDescent="0.25">
      <c r="A179" s="33"/>
      <c r="B179" s="33"/>
      <c r="C179" s="33"/>
      <c r="D179" s="33"/>
      <c r="E179" s="33"/>
      <c r="F179" s="33"/>
    </row>
    <row r="180" ht="22" customHeight="1" spans="1:5" x14ac:dyDescent="0.25">
      <c r="A180" s="48" t="s">
        <v>78</v>
      </c>
      <c r="B180" s="48"/>
      <c r="C180" s="48"/>
      <c r="D180" s="44">
        <f>F147</f>
      </c>
      <c r="E180" s="45">
        <f>E167*F147</f>
      </c>
    </row>
    <row r="181" ht="3" customHeight="1" spans="1:6" x14ac:dyDescent="0.25">
      <c r="A181" s="33"/>
      <c r="B181" s="33"/>
      <c r="C181" s="33"/>
      <c r="D181" s="33"/>
      <c r="E181" s="33"/>
      <c r="F181" s="33"/>
    </row>
    <row r="182" ht="30" customHeight="1" spans="1:6" x14ac:dyDescent="0.25">
      <c r="A182" s="49" t="s">
        <v>79</v>
      </c>
      <c r="B182" s="49"/>
      <c r="C182" s="49"/>
      <c r="D182" s="49"/>
      <c r="E182" s="50">
        <f>E167+E168-E178-E180</f>
      </c>
      <c r="F182" s="51" t="s">
        <v>80</v>
      </c>
    </row>
    <row r="183" ht="10" customHeight="1" spans="1:6" x14ac:dyDescent="0.25">
      <c r="A183" s="3"/>
      <c r="B183" s="3"/>
      <c r="C183" s="3"/>
      <c r="D183" s="3"/>
      <c r="E183" s="3"/>
      <c r="F183" s="3"/>
    </row>
    <row r="184" ht="26" customHeight="1" spans="1:6" x14ac:dyDescent="0.25">
      <c r="A184" s="19" t="s">
        <v>86</v>
      </c>
      <c r="B184" s="19"/>
      <c r="C184" s="19"/>
      <c r="D184" s="19"/>
      <c r="E184" s="20" t="s">
        <v>47</v>
      </c>
      <c r="F184" s="16">
        <f>$C$20</f>
      </c>
    </row>
    <row r="185" ht="16" customHeight="1" spans="1:6" x14ac:dyDescent="0.25">
      <c r="A185" s="21" t="s">
        <v>3</v>
      </c>
      <c r="B185" s="22" t="s">
        <v>48</v>
      </c>
      <c r="C185" s="23" t="s">
        <v>49</v>
      </c>
      <c r="D185" s="23" t="s">
        <v>50</v>
      </c>
      <c r="E185" s="23" t="s">
        <v>51</v>
      </c>
      <c r="F185" s="23" t="s">
        <v>52</v>
      </c>
    </row>
    <row r="186" ht="18" customHeight="1" spans="2:6" x14ac:dyDescent="0.25">
      <c r="B186" s="9" t="s">
        <v>53</v>
      </c>
      <c r="E186" s="24">
        <f>C$6</f>
      </c>
      <c r="F186" s="25" t="s">
        <v>54</v>
      </c>
    </row>
    <row r="187" ht="18" customHeight="1" spans="2:6" x14ac:dyDescent="0.25">
      <c r="B187" s="12" t="s">
        <v>55</v>
      </c>
      <c r="C187" s="7">
        <f>C$11</f>
      </c>
      <c r="D187" s="26" t="s">
        <v>56</v>
      </c>
      <c r="E187" s="24">
        <f>C187</f>
      </c>
      <c r="F187" s="25" t="s">
        <v>54</v>
      </c>
    </row>
    <row r="188" ht="18" customHeight="1" spans="2:6" x14ac:dyDescent="0.25">
      <c r="B188" s="12" t="s">
        <v>32</v>
      </c>
      <c r="C188" s="27">
        <v>0</v>
      </c>
      <c r="D188" s="28">
        <f>C$24</f>
      </c>
      <c r="E188" s="24">
        <f>C188*D188</f>
      </c>
      <c r="F188" s="25" t="s">
        <v>54</v>
      </c>
    </row>
    <row r="189" ht="18" customHeight="1" spans="2:6" x14ac:dyDescent="0.25">
      <c r="B189" s="12" t="s">
        <v>34</v>
      </c>
      <c r="C189" s="27">
        <v>0</v>
      </c>
      <c r="D189" s="28">
        <f>C$25</f>
      </c>
      <c r="E189" s="24">
        <f>C189*D189</f>
      </c>
      <c r="F189" s="25" t="s">
        <v>54</v>
      </c>
    </row>
    <row r="190" ht="18" customHeight="1" spans="2:6" x14ac:dyDescent="0.25">
      <c r="B190" s="12" t="s">
        <v>35</v>
      </c>
      <c r="C190" s="27">
        <v>0</v>
      </c>
      <c r="D190" s="28">
        <f>C$26</f>
      </c>
      <c r="E190" s="24">
        <f>C190*D190</f>
      </c>
      <c r="F190" s="25" t="s">
        <v>54</v>
      </c>
    </row>
    <row r="191" ht="18" customHeight="1" spans="2:6" x14ac:dyDescent="0.25">
      <c r="B191" s="12" t="s">
        <v>36</v>
      </c>
      <c r="C191" s="27">
        <v>0</v>
      </c>
      <c r="D191" s="28">
        <f>C$27</f>
      </c>
      <c r="E191" s="24">
        <f>C191*D191</f>
      </c>
      <c r="F191" s="25" t="s">
        <v>54</v>
      </c>
    </row>
    <row r="192" ht="18" customHeight="1" spans="2:6" x14ac:dyDescent="0.25">
      <c r="B192" s="12" t="s">
        <v>37</v>
      </c>
      <c r="C192" s="27">
        <v>0</v>
      </c>
      <c r="D192" s="28">
        <f>C$28</f>
      </c>
      <c r="E192" s="24">
        <f>C192*D192</f>
      </c>
      <c r="F192" s="25" t="s">
        <v>54</v>
      </c>
    </row>
    <row r="193" ht="18" customHeight="1" spans="2:6" x14ac:dyDescent="0.25">
      <c r="B193" s="12" t="s">
        <v>38</v>
      </c>
      <c r="C193" s="27">
        <v>0</v>
      </c>
      <c r="D193" s="28">
        <f>C$29</f>
      </c>
      <c r="E193" s="24">
        <f>C193*D193</f>
      </c>
      <c r="F193" s="25" t="s">
        <v>54</v>
      </c>
    </row>
    <row r="194" ht="18" customHeight="1" spans="2:6" x14ac:dyDescent="0.25">
      <c r="B194" s="12" t="s">
        <v>57</v>
      </c>
      <c r="C194" s="27">
        <v>0</v>
      </c>
      <c r="D194" s="28">
        <f>C$30</f>
      </c>
      <c r="E194" s="24">
        <f>C194*D194</f>
      </c>
      <c r="F194" s="25" t="s">
        <v>54</v>
      </c>
    </row>
    <row r="195" ht="18" customHeight="1" spans="2:6" x14ac:dyDescent="0.25">
      <c r="B195" s="12" t="s">
        <v>58</v>
      </c>
      <c r="C195" s="27">
        <v>0</v>
      </c>
      <c r="D195" s="28">
        <f>C$33</f>
      </c>
      <c r="E195" s="24">
        <f>C195*D195</f>
      </c>
      <c r="F195" s="25" t="s">
        <v>54</v>
      </c>
    </row>
    <row r="196" ht="16" customHeight="1" spans="1:6" x14ac:dyDescent="0.25">
      <c r="A196" s="29" t="s">
        <v>59</v>
      </c>
      <c r="B196" s="29"/>
      <c r="C196" s="29"/>
      <c r="D196" s="29"/>
      <c r="E196" s="29"/>
      <c r="F196" s="29"/>
    </row>
    <row r="197" ht="18" customHeight="1" spans="2:6" x14ac:dyDescent="0.25">
      <c r="B197" s="12" t="s">
        <v>40</v>
      </c>
      <c r="C197" s="27">
        <v>0</v>
      </c>
      <c r="D197" s="28">
        <f>C$31</f>
      </c>
      <c r="E197" s="24">
        <f>C197*D197</f>
      </c>
      <c r="F197" s="25" t="s">
        <v>60</v>
      </c>
    </row>
    <row r="198" ht="18" customHeight="1" spans="2:6" x14ac:dyDescent="0.25">
      <c r="B198" s="12" t="s">
        <v>42</v>
      </c>
      <c r="C198" s="27">
        <v>0</v>
      </c>
      <c r="D198" s="28">
        <f>C$32</f>
      </c>
      <c r="E198" s="24">
        <f>C198*D198</f>
      </c>
      <c r="F198" s="25" t="s">
        <v>60</v>
      </c>
    </row>
    <row r="199" ht="16" customHeight="1" spans="1:6" x14ac:dyDescent="0.25">
      <c r="A199" s="30" t="s">
        <v>61</v>
      </c>
      <c r="B199" s="30"/>
      <c r="C199" s="30"/>
      <c r="D199" s="30"/>
      <c r="E199" s="30"/>
      <c r="F199" s="30"/>
    </row>
    <row r="200" ht="18" customHeight="1" spans="2:6" x14ac:dyDescent="0.25">
      <c r="B200" s="12" t="s">
        <v>62</v>
      </c>
      <c r="C200" s="7">
        <v>0</v>
      </c>
      <c r="D200" s="26" t="s">
        <v>56</v>
      </c>
      <c r="E200" s="31">
        <f>C200</f>
      </c>
      <c r="F200" s="32" t="s">
        <v>63</v>
      </c>
    </row>
    <row r="201" ht="18" customHeight="1" spans="2:6" x14ac:dyDescent="0.25">
      <c r="B201" s="12" t="s">
        <v>64</v>
      </c>
      <c r="C201" s="7">
        <v>0</v>
      </c>
      <c r="D201" s="26" t="s">
        <v>56</v>
      </c>
      <c r="E201" s="31">
        <f>C201</f>
      </c>
      <c r="F201" s="32" t="s">
        <v>63</v>
      </c>
    </row>
    <row r="202" ht="18" customHeight="1" spans="2:6" x14ac:dyDescent="0.25">
      <c r="B202" s="12" t="s">
        <v>65</v>
      </c>
      <c r="C202" s="27">
        <v>0</v>
      </c>
      <c r="D202" s="28">
        <f>C$34</f>
      </c>
      <c r="E202" s="31">
        <f>C202*D202</f>
      </c>
      <c r="F202" s="32" t="s">
        <v>63</v>
      </c>
    </row>
    <row r="203" ht="3" customHeight="1" spans="1:6" x14ac:dyDescent="0.25">
      <c r="A203" s="33"/>
      <c r="B203" s="33"/>
      <c r="C203" s="33"/>
      <c r="D203" s="33"/>
      <c r="E203" s="33"/>
      <c r="F203" s="33"/>
    </row>
    <row r="204" ht="20" customHeight="1" spans="1:5" x14ac:dyDescent="0.25">
      <c r="A204" s="34" t="s">
        <v>66</v>
      </c>
      <c r="B204" s="34"/>
      <c r="C204" s="34"/>
      <c r="D204" s="34"/>
      <c r="E204" s="35">
        <f>E186+E187+E188+E189+E190+E191+E192+E193+E194+E195+E197+E198</f>
      </c>
    </row>
    <row r="205" ht="20" customHeight="1" spans="1:5" x14ac:dyDescent="0.25">
      <c r="A205" s="36" t="s">
        <v>67</v>
      </c>
      <c r="B205" s="36"/>
      <c r="C205" s="36"/>
      <c r="D205" s="36"/>
      <c r="E205" s="31">
        <f>E200+E201+E202</f>
      </c>
    </row>
    <row r="206" ht="20" customHeight="1" spans="1:5" x14ac:dyDescent="0.25">
      <c r="A206" s="37" t="s">
        <v>68</v>
      </c>
      <c r="B206" s="37"/>
      <c r="C206" s="37"/>
      <c r="D206" s="37"/>
      <c r="E206" s="38">
        <f>E197+E198</f>
      </c>
    </row>
    <row r="207" ht="3" customHeight="1" spans="1:6" x14ac:dyDescent="0.25">
      <c r="A207" s="33"/>
      <c r="B207" s="33"/>
      <c r="C207" s="33"/>
      <c r="D207" s="33"/>
      <c r="E207" s="33"/>
      <c r="F207" s="33"/>
    </row>
    <row r="208" ht="16" customHeight="1" spans="1:6" x14ac:dyDescent="0.25">
      <c r="A208" s="39" t="s">
        <v>69</v>
      </c>
      <c r="B208" s="39"/>
      <c r="C208" s="39"/>
      <c r="D208" s="39"/>
      <c r="E208" s="39"/>
      <c r="F208" s="39"/>
    </row>
    <row r="209" ht="20" customHeight="1" spans="1:6" x14ac:dyDescent="0.25">
      <c r="A209" s="40" t="s">
        <v>70</v>
      </c>
      <c r="B209" s="40"/>
      <c r="C209" s="40"/>
      <c r="D209" s="40"/>
      <c r="E209" s="41">
        <f>E186+E187+E188+E189+E190+E191+E192+E193+E194+E195+C$10</f>
      </c>
      <c r="F209" s="42" t="s">
        <v>33</v>
      </c>
    </row>
    <row r="210" ht="20" customHeight="1" spans="1:6" x14ac:dyDescent="0.25">
      <c r="A210" s="40" t="s">
        <v>71</v>
      </c>
      <c r="B210" s="40"/>
      <c r="C210" s="40"/>
      <c r="D210" s="40"/>
      <c r="E210" s="41">
        <f>E209+E206</f>
      </c>
      <c r="F210" s="42" t="s">
        <v>72</v>
      </c>
    </row>
    <row r="211" ht="20" customHeight="1" spans="1:5" x14ac:dyDescent="0.25">
      <c r="A211" s="43" t="s">
        <v>73</v>
      </c>
      <c r="B211" s="43"/>
      <c r="C211" s="43"/>
      <c r="D211" s="44">
        <f>C$15</f>
      </c>
      <c r="E211" s="45">
        <f>E209*C$15</f>
      </c>
    </row>
    <row r="212" ht="20" customHeight="1" spans="1:5" x14ac:dyDescent="0.25">
      <c r="A212" s="43" t="s">
        <v>74</v>
      </c>
      <c r="B212" s="43"/>
      <c r="C212" s="43"/>
      <c r="D212" s="44">
        <f>C$16</f>
      </c>
      <c r="E212" s="45">
        <f>E210*C$16</f>
      </c>
    </row>
    <row r="213" ht="20" customHeight="1" spans="1:5" x14ac:dyDescent="0.25">
      <c r="A213" s="43" t="s">
        <v>75</v>
      </c>
      <c r="B213" s="43"/>
      <c r="C213" s="43"/>
      <c r="D213" s="44">
        <f>C$17</f>
      </c>
      <c r="E213" s="45">
        <f>E206*C$17</f>
      </c>
    </row>
    <row r="214" ht="20" customHeight="1" spans="1:5" x14ac:dyDescent="0.25">
      <c r="A214" s="43" t="s">
        <v>76</v>
      </c>
      <c r="B214" s="43"/>
      <c r="C214" s="43"/>
      <c r="D214" s="44">
        <f>C$18</f>
      </c>
      <c r="E214" s="45">
        <f>E210*C$18</f>
      </c>
    </row>
    <row r="215" ht="20" customHeight="1" spans="1:5" x14ac:dyDescent="0.25">
      <c r="A215" s="46" t="s">
        <v>77</v>
      </c>
      <c r="B215" s="46"/>
      <c r="C215" s="46"/>
      <c r="D215" s="46"/>
      <c r="E215" s="47">
        <f>E211+E212+E213+E214</f>
      </c>
    </row>
    <row r="216" ht="3" customHeight="1" spans="1:6" x14ac:dyDescent="0.25">
      <c r="A216" s="33"/>
      <c r="B216" s="33"/>
      <c r="C216" s="33"/>
      <c r="D216" s="33"/>
      <c r="E216" s="33"/>
      <c r="F216" s="33"/>
    </row>
    <row r="217" ht="22" customHeight="1" spans="1:5" x14ac:dyDescent="0.25">
      <c r="A217" s="48" t="s">
        <v>78</v>
      </c>
      <c r="B217" s="48"/>
      <c r="C217" s="48"/>
      <c r="D217" s="44">
        <f>F184</f>
      </c>
      <c r="E217" s="45">
        <f>E204*F184</f>
      </c>
    </row>
    <row r="218" ht="3" customHeight="1" spans="1:6" x14ac:dyDescent="0.25">
      <c r="A218" s="33"/>
      <c r="B218" s="33"/>
      <c r="C218" s="33"/>
      <c r="D218" s="33"/>
      <c r="E218" s="33"/>
      <c r="F218" s="33"/>
    </row>
    <row r="219" ht="30" customHeight="1" spans="1:6" x14ac:dyDescent="0.25">
      <c r="A219" s="49" t="s">
        <v>79</v>
      </c>
      <c r="B219" s="49"/>
      <c r="C219" s="49"/>
      <c r="D219" s="49"/>
      <c r="E219" s="50">
        <f>E204+E205-E215-E217</f>
      </c>
      <c r="F219" s="51" t="s">
        <v>80</v>
      </c>
    </row>
    <row r="220" ht="10" customHeight="1" spans="1:6" x14ac:dyDescent="0.25">
      <c r="A220" s="3"/>
      <c r="B220" s="3"/>
      <c r="C220" s="3"/>
      <c r="D220" s="3"/>
      <c r="E220" s="3"/>
      <c r="F220" s="3"/>
    </row>
    <row r="221" ht="26" customHeight="1" spans="1:6" x14ac:dyDescent="0.25">
      <c r="A221" s="19" t="s">
        <v>87</v>
      </c>
      <c r="B221" s="19"/>
      <c r="C221" s="19"/>
      <c r="D221" s="19"/>
      <c r="E221" s="20" t="s">
        <v>85</v>
      </c>
      <c r="F221" s="16">
        <f>$C$20</f>
      </c>
    </row>
    <row r="222" ht="16" customHeight="1" spans="1:6" x14ac:dyDescent="0.25">
      <c r="A222" s="21" t="s">
        <v>3</v>
      </c>
      <c r="B222" s="22" t="s">
        <v>48</v>
      </c>
      <c r="C222" s="23" t="s">
        <v>49</v>
      </c>
      <c r="D222" s="23" t="s">
        <v>50</v>
      </c>
      <c r="E222" s="23" t="s">
        <v>51</v>
      </c>
      <c r="F222" s="23" t="s">
        <v>52</v>
      </c>
    </row>
    <row r="223" ht="18" customHeight="1" spans="2:6" x14ac:dyDescent="0.25">
      <c r="B223" s="9" t="s">
        <v>53</v>
      </c>
      <c r="E223" s="24">
        <f>C$6</f>
      </c>
      <c r="F223" s="25" t="s">
        <v>54</v>
      </c>
    </row>
    <row r="224" ht="18" customHeight="1" spans="2:6" x14ac:dyDescent="0.25">
      <c r="B224" s="12" t="s">
        <v>55</v>
      </c>
      <c r="C224" s="7">
        <f>C$11</f>
      </c>
      <c r="D224" s="26" t="s">
        <v>56</v>
      </c>
      <c r="E224" s="24">
        <f>C224</f>
      </c>
      <c r="F224" s="25" t="s">
        <v>54</v>
      </c>
    </row>
    <row r="225" ht="18" customHeight="1" spans="2:6" x14ac:dyDescent="0.25">
      <c r="B225" s="12" t="s">
        <v>32</v>
      </c>
      <c r="C225" s="27">
        <v>0</v>
      </c>
      <c r="D225" s="28">
        <f>C$24</f>
      </c>
      <c r="E225" s="24">
        <f>C225*D225</f>
      </c>
      <c r="F225" s="25" t="s">
        <v>54</v>
      </c>
    </row>
    <row r="226" ht="18" customHeight="1" spans="2:6" x14ac:dyDescent="0.25">
      <c r="B226" s="12" t="s">
        <v>34</v>
      </c>
      <c r="C226" s="27">
        <v>0</v>
      </c>
      <c r="D226" s="28">
        <f>C$25</f>
      </c>
      <c r="E226" s="24">
        <f>C226*D226</f>
      </c>
      <c r="F226" s="25" t="s">
        <v>54</v>
      </c>
    </row>
    <row r="227" ht="18" customHeight="1" spans="2:6" x14ac:dyDescent="0.25">
      <c r="B227" s="12" t="s">
        <v>35</v>
      </c>
      <c r="C227" s="27">
        <v>0</v>
      </c>
      <c r="D227" s="28">
        <f>C$26</f>
      </c>
      <c r="E227" s="24">
        <f>C227*D227</f>
      </c>
      <c r="F227" s="25" t="s">
        <v>54</v>
      </c>
    </row>
    <row r="228" ht="18" customHeight="1" spans="2:6" x14ac:dyDescent="0.25">
      <c r="B228" s="12" t="s">
        <v>36</v>
      </c>
      <c r="C228" s="27">
        <v>0</v>
      </c>
      <c r="D228" s="28">
        <f>C$27</f>
      </c>
      <c r="E228" s="24">
        <f>C228*D228</f>
      </c>
      <c r="F228" s="25" t="s">
        <v>54</v>
      </c>
    </row>
    <row r="229" ht="18" customHeight="1" spans="2:6" x14ac:dyDescent="0.25">
      <c r="B229" s="12" t="s">
        <v>37</v>
      </c>
      <c r="C229" s="27">
        <v>0</v>
      </c>
      <c r="D229" s="28">
        <f>C$28</f>
      </c>
      <c r="E229" s="24">
        <f>C229*D229</f>
      </c>
      <c r="F229" s="25" t="s">
        <v>54</v>
      </c>
    </row>
    <row r="230" ht="18" customHeight="1" spans="2:6" x14ac:dyDescent="0.25">
      <c r="B230" s="12" t="s">
        <v>38</v>
      </c>
      <c r="C230" s="27">
        <v>0</v>
      </c>
      <c r="D230" s="28">
        <f>C$29</f>
      </c>
      <c r="E230" s="24">
        <f>C230*D230</f>
      </c>
      <c r="F230" s="25" t="s">
        <v>54</v>
      </c>
    </row>
    <row r="231" ht="18" customHeight="1" spans="2:6" x14ac:dyDescent="0.25">
      <c r="B231" s="12" t="s">
        <v>57</v>
      </c>
      <c r="C231" s="27">
        <v>0</v>
      </c>
      <c r="D231" s="28">
        <f>C$30</f>
      </c>
      <c r="E231" s="24">
        <f>C231*D231</f>
      </c>
      <c r="F231" s="25" t="s">
        <v>54</v>
      </c>
    </row>
    <row r="232" ht="18" customHeight="1" spans="2:6" x14ac:dyDescent="0.25">
      <c r="B232" s="12" t="s">
        <v>58</v>
      </c>
      <c r="C232" s="27">
        <v>0</v>
      </c>
      <c r="D232" s="28">
        <f>C$33</f>
      </c>
      <c r="E232" s="24">
        <f>C232*D232</f>
      </c>
      <c r="F232" s="25" t="s">
        <v>54</v>
      </c>
    </row>
    <row r="233" ht="16" customHeight="1" spans="1:6" x14ac:dyDescent="0.25">
      <c r="A233" s="29" t="s">
        <v>59</v>
      </c>
      <c r="B233" s="29"/>
      <c r="C233" s="29"/>
      <c r="D233" s="29"/>
      <c r="E233" s="29"/>
      <c r="F233" s="29"/>
    </row>
    <row r="234" ht="18" customHeight="1" spans="2:6" x14ac:dyDescent="0.25">
      <c r="B234" s="12" t="s">
        <v>40</v>
      </c>
      <c r="C234" s="27">
        <v>0</v>
      </c>
      <c r="D234" s="28">
        <f>C$31</f>
      </c>
      <c r="E234" s="24">
        <f>C234*D234</f>
      </c>
      <c r="F234" s="25" t="s">
        <v>60</v>
      </c>
    </row>
    <row r="235" ht="18" customHeight="1" spans="2:6" x14ac:dyDescent="0.25">
      <c r="B235" s="12" t="s">
        <v>42</v>
      </c>
      <c r="C235" s="27">
        <v>0</v>
      </c>
      <c r="D235" s="28">
        <f>C$32</f>
      </c>
      <c r="E235" s="24">
        <f>C235*D235</f>
      </c>
      <c r="F235" s="25" t="s">
        <v>60</v>
      </c>
    </row>
    <row r="236" ht="16" customHeight="1" spans="1:6" x14ac:dyDescent="0.25">
      <c r="A236" s="30" t="s">
        <v>61</v>
      </c>
      <c r="B236" s="30"/>
      <c r="C236" s="30"/>
      <c r="D236" s="30"/>
      <c r="E236" s="30"/>
      <c r="F236" s="30"/>
    </row>
    <row r="237" ht="18" customHeight="1" spans="2:6" x14ac:dyDescent="0.25">
      <c r="B237" s="12" t="s">
        <v>62</v>
      </c>
      <c r="C237" s="7">
        <v>0</v>
      </c>
      <c r="D237" s="26" t="s">
        <v>56</v>
      </c>
      <c r="E237" s="31">
        <f>C237</f>
      </c>
      <c r="F237" s="32" t="s">
        <v>63</v>
      </c>
    </row>
    <row r="238" ht="18" customHeight="1" spans="2:6" x14ac:dyDescent="0.25">
      <c r="B238" s="12" t="s">
        <v>64</v>
      </c>
      <c r="C238" s="7">
        <v>0</v>
      </c>
      <c r="D238" s="26" t="s">
        <v>56</v>
      </c>
      <c r="E238" s="31">
        <f>C238</f>
      </c>
      <c r="F238" s="32" t="s">
        <v>63</v>
      </c>
    </row>
    <row r="239" ht="18" customHeight="1" spans="2:6" x14ac:dyDescent="0.25">
      <c r="B239" s="12" t="s">
        <v>65</v>
      </c>
      <c r="C239" s="27">
        <v>0</v>
      </c>
      <c r="D239" s="28">
        <f>C$34</f>
      </c>
      <c r="E239" s="31">
        <f>C239*D239</f>
      </c>
      <c r="F239" s="32" t="s">
        <v>63</v>
      </c>
    </row>
    <row r="240" ht="3" customHeight="1" spans="1:6" x14ac:dyDescent="0.25">
      <c r="A240" s="33"/>
      <c r="B240" s="33"/>
      <c r="C240" s="33"/>
      <c r="D240" s="33"/>
      <c r="E240" s="33"/>
      <c r="F240" s="33"/>
    </row>
    <row r="241" ht="20" customHeight="1" spans="1:5" x14ac:dyDescent="0.25">
      <c r="A241" s="34" t="s">
        <v>66</v>
      </c>
      <c r="B241" s="34"/>
      <c r="C241" s="34"/>
      <c r="D241" s="34"/>
      <c r="E241" s="35">
        <f>E223+E224+E225+E226+E227+E228+E229+E230+E231+E232+E234+E235</f>
      </c>
    </row>
    <row r="242" ht="20" customHeight="1" spans="1:5" x14ac:dyDescent="0.25">
      <c r="A242" s="36" t="s">
        <v>67</v>
      </c>
      <c r="B242" s="36"/>
      <c r="C242" s="36"/>
      <c r="D242" s="36"/>
      <c r="E242" s="31">
        <f>E237+E238+E239</f>
      </c>
    </row>
    <row r="243" ht="20" customHeight="1" spans="1:5" x14ac:dyDescent="0.25">
      <c r="A243" s="37" t="s">
        <v>68</v>
      </c>
      <c r="B243" s="37"/>
      <c r="C243" s="37"/>
      <c r="D243" s="37"/>
      <c r="E243" s="38">
        <f>E234+E235</f>
      </c>
    </row>
    <row r="244" ht="3" customHeight="1" spans="1:6" x14ac:dyDescent="0.25">
      <c r="A244" s="33"/>
      <c r="B244" s="33"/>
      <c r="C244" s="33"/>
      <c r="D244" s="33"/>
      <c r="E244" s="33"/>
      <c r="F244" s="33"/>
    </row>
    <row r="245" ht="16" customHeight="1" spans="1:6" x14ac:dyDescent="0.25">
      <c r="A245" s="39" t="s">
        <v>69</v>
      </c>
      <c r="B245" s="39"/>
      <c r="C245" s="39"/>
      <c r="D245" s="39"/>
      <c r="E245" s="39"/>
      <c r="F245" s="39"/>
    </row>
    <row r="246" ht="20" customHeight="1" spans="1:6" x14ac:dyDescent="0.25">
      <c r="A246" s="40" t="s">
        <v>70</v>
      </c>
      <c r="B246" s="40"/>
      <c r="C246" s="40"/>
      <c r="D246" s="40"/>
      <c r="E246" s="41">
        <f>E223+E224+E225+E226+E227+E228+E229+E230+E231+E232+C$10</f>
      </c>
      <c r="F246" s="42" t="s">
        <v>33</v>
      </c>
    </row>
    <row r="247" ht="20" customHeight="1" spans="1:6" x14ac:dyDescent="0.25">
      <c r="A247" s="40" t="s">
        <v>71</v>
      </c>
      <c r="B247" s="40"/>
      <c r="C247" s="40"/>
      <c r="D247" s="40"/>
      <c r="E247" s="41">
        <f>E246+E243</f>
      </c>
      <c r="F247" s="42" t="s">
        <v>72</v>
      </c>
    </row>
    <row r="248" ht="20" customHeight="1" spans="1:5" x14ac:dyDescent="0.25">
      <c r="A248" s="43" t="s">
        <v>73</v>
      </c>
      <c r="B248" s="43"/>
      <c r="C248" s="43"/>
      <c r="D248" s="44">
        <f>C$15</f>
      </c>
      <c r="E248" s="45">
        <f>E246*C$15</f>
      </c>
    </row>
    <row r="249" ht="20" customHeight="1" spans="1:5" x14ac:dyDescent="0.25">
      <c r="A249" s="43" t="s">
        <v>74</v>
      </c>
      <c r="B249" s="43"/>
      <c r="C249" s="43"/>
      <c r="D249" s="44">
        <f>C$16</f>
      </c>
      <c r="E249" s="45">
        <f>E247*C$16</f>
      </c>
    </row>
    <row r="250" ht="20" customHeight="1" spans="1:5" x14ac:dyDescent="0.25">
      <c r="A250" s="43" t="s">
        <v>75</v>
      </c>
      <c r="B250" s="43"/>
      <c r="C250" s="43"/>
      <c r="D250" s="44">
        <f>C$17</f>
      </c>
      <c r="E250" s="45">
        <f>E243*C$17</f>
      </c>
    </row>
    <row r="251" ht="20" customHeight="1" spans="1:5" x14ac:dyDescent="0.25">
      <c r="A251" s="43" t="s">
        <v>76</v>
      </c>
      <c r="B251" s="43"/>
      <c r="C251" s="43"/>
      <c r="D251" s="44">
        <f>C$18</f>
      </c>
      <c r="E251" s="45">
        <f>E247*C$18</f>
      </c>
    </row>
    <row r="252" ht="20" customHeight="1" spans="1:5" x14ac:dyDescent="0.25">
      <c r="A252" s="46" t="s">
        <v>77</v>
      </c>
      <c r="B252" s="46"/>
      <c r="C252" s="46"/>
      <c r="D252" s="46"/>
      <c r="E252" s="47">
        <f>E248+E249+E250+E251</f>
      </c>
    </row>
    <row r="253" ht="3" customHeight="1" spans="1:6" x14ac:dyDescent="0.25">
      <c r="A253" s="33"/>
      <c r="B253" s="33"/>
      <c r="C253" s="33"/>
      <c r="D253" s="33"/>
      <c r="E253" s="33"/>
      <c r="F253" s="33"/>
    </row>
    <row r="254" ht="22" customHeight="1" spans="1:5" x14ac:dyDescent="0.25">
      <c r="A254" s="48" t="s">
        <v>78</v>
      </c>
      <c r="B254" s="48"/>
      <c r="C254" s="48"/>
      <c r="D254" s="44">
        <f>F221</f>
      </c>
      <c r="E254" s="45">
        <f>E241*F221</f>
      </c>
    </row>
    <row r="255" ht="3" customHeight="1" spans="1:6" x14ac:dyDescent="0.25">
      <c r="A255" s="33"/>
      <c r="B255" s="33"/>
      <c r="C255" s="33"/>
      <c r="D255" s="33"/>
      <c r="E255" s="33"/>
      <c r="F255" s="33"/>
    </row>
    <row r="256" ht="30" customHeight="1" spans="1:6" x14ac:dyDescent="0.25">
      <c r="A256" s="49" t="s">
        <v>79</v>
      </c>
      <c r="B256" s="49"/>
      <c r="C256" s="49"/>
      <c r="D256" s="49"/>
      <c r="E256" s="50">
        <f>E241+E242-E252-E254</f>
      </c>
      <c r="F256" s="51" t="s">
        <v>80</v>
      </c>
    </row>
    <row r="257" ht="10" customHeight="1" spans="1:6" x14ac:dyDescent="0.25">
      <c r="A257" s="3"/>
      <c r="B257" s="3"/>
      <c r="C257" s="3"/>
      <c r="D257" s="3"/>
      <c r="E257" s="3"/>
      <c r="F257" s="3"/>
    </row>
    <row r="258" ht="26" customHeight="1" spans="1:6" x14ac:dyDescent="0.25">
      <c r="A258" s="19" t="s">
        <v>88</v>
      </c>
      <c r="B258" s="19"/>
      <c r="C258" s="19"/>
      <c r="D258" s="19"/>
      <c r="E258" s="20" t="s">
        <v>47</v>
      </c>
      <c r="F258" s="16">
        <f>$C$20</f>
      </c>
    </row>
    <row r="259" ht="16" customHeight="1" spans="1:6" x14ac:dyDescent="0.25">
      <c r="A259" s="21" t="s">
        <v>3</v>
      </c>
      <c r="B259" s="22" t="s">
        <v>48</v>
      </c>
      <c r="C259" s="23" t="s">
        <v>49</v>
      </c>
      <c r="D259" s="23" t="s">
        <v>50</v>
      </c>
      <c r="E259" s="23" t="s">
        <v>51</v>
      </c>
      <c r="F259" s="23" t="s">
        <v>52</v>
      </c>
    </row>
    <row r="260" ht="18" customHeight="1" spans="2:6" x14ac:dyDescent="0.25">
      <c r="B260" s="9" t="s">
        <v>53</v>
      </c>
      <c r="E260" s="24">
        <f>C$6</f>
      </c>
      <c r="F260" s="25" t="s">
        <v>54</v>
      </c>
    </row>
    <row r="261" ht="18" customHeight="1" spans="2:6" x14ac:dyDescent="0.25">
      <c r="B261" s="12" t="s">
        <v>55</v>
      </c>
      <c r="C261" s="7">
        <f>C$11</f>
      </c>
      <c r="D261" s="26" t="s">
        <v>56</v>
      </c>
      <c r="E261" s="24">
        <f>C261</f>
      </c>
      <c r="F261" s="25" t="s">
        <v>54</v>
      </c>
    </row>
    <row r="262" ht="18" customHeight="1" spans="2:6" x14ac:dyDescent="0.25">
      <c r="B262" s="12" t="s">
        <v>32</v>
      </c>
      <c r="C262" s="27">
        <v>0</v>
      </c>
      <c r="D262" s="28">
        <f>C$24</f>
      </c>
      <c r="E262" s="24">
        <f>C262*D262</f>
      </c>
      <c r="F262" s="25" t="s">
        <v>54</v>
      </c>
    </row>
    <row r="263" ht="18" customHeight="1" spans="2:6" x14ac:dyDescent="0.25">
      <c r="B263" s="12" t="s">
        <v>34</v>
      </c>
      <c r="C263" s="27">
        <v>0</v>
      </c>
      <c r="D263" s="28">
        <f>C$25</f>
      </c>
      <c r="E263" s="24">
        <f>C263*D263</f>
      </c>
      <c r="F263" s="25" t="s">
        <v>54</v>
      </c>
    </row>
    <row r="264" ht="18" customHeight="1" spans="2:6" x14ac:dyDescent="0.25">
      <c r="B264" s="12" t="s">
        <v>35</v>
      </c>
      <c r="C264" s="27">
        <v>0</v>
      </c>
      <c r="D264" s="28">
        <f>C$26</f>
      </c>
      <c r="E264" s="24">
        <f>C264*D264</f>
      </c>
      <c r="F264" s="25" t="s">
        <v>54</v>
      </c>
    </row>
    <row r="265" ht="18" customHeight="1" spans="2:6" x14ac:dyDescent="0.25">
      <c r="B265" s="12" t="s">
        <v>36</v>
      </c>
      <c r="C265" s="27">
        <v>0</v>
      </c>
      <c r="D265" s="28">
        <f>C$27</f>
      </c>
      <c r="E265" s="24">
        <f>C265*D265</f>
      </c>
      <c r="F265" s="25" t="s">
        <v>54</v>
      </c>
    </row>
    <row r="266" ht="18" customHeight="1" spans="2:6" x14ac:dyDescent="0.25">
      <c r="B266" s="12" t="s">
        <v>37</v>
      </c>
      <c r="C266" s="27">
        <v>0</v>
      </c>
      <c r="D266" s="28">
        <f>C$28</f>
      </c>
      <c r="E266" s="24">
        <f>C266*D266</f>
      </c>
      <c r="F266" s="25" t="s">
        <v>54</v>
      </c>
    </row>
    <row r="267" ht="18" customHeight="1" spans="2:6" x14ac:dyDescent="0.25">
      <c r="B267" s="12" t="s">
        <v>38</v>
      </c>
      <c r="C267" s="27">
        <v>0</v>
      </c>
      <c r="D267" s="28">
        <f>C$29</f>
      </c>
      <c r="E267" s="24">
        <f>C267*D267</f>
      </c>
      <c r="F267" s="25" t="s">
        <v>54</v>
      </c>
    </row>
    <row r="268" ht="18" customHeight="1" spans="2:6" x14ac:dyDescent="0.25">
      <c r="B268" s="12" t="s">
        <v>57</v>
      </c>
      <c r="C268" s="27">
        <v>0</v>
      </c>
      <c r="D268" s="28">
        <f>C$30</f>
      </c>
      <c r="E268" s="24">
        <f>C268*D268</f>
      </c>
      <c r="F268" s="25" t="s">
        <v>54</v>
      </c>
    </row>
    <row r="269" ht="18" customHeight="1" spans="2:6" x14ac:dyDescent="0.25">
      <c r="B269" s="12" t="s">
        <v>58</v>
      </c>
      <c r="C269" s="27">
        <v>0</v>
      </c>
      <c r="D269" s="28">
        <f>C$33</f>
      </c>
      <c r="E269" s="24">
        <f>C269*D269</f>
      </c>
      <c r="F269" s="25" t="s">
        <v>54</v>
      </c>
    </row>
    <row r="270" ht="16" customHeight="1" spans="1:6" x14ac:dyDescent="0.25">
      <c r="A270" s="29" t="s">
        <v>59</v>
      </c>
      <c r="B270" s="29"/>
      <c r="C270" s="29"/>
      <c r="D270" s="29"/>
      <c r="E270" s="29"/>
      <c r="F270" s="29"/>
    </row>
    <row r="271" ht="18" customHeight="1" spans="2:6" x14ac:dyDescent="0.25">
      <c r="B271" s="12" t="s">
        <v>40</v>
      </c>
      <c r="C271" s="27">
        <v>0</v>
      </c>
      <c r="D271" s="28">
        <f>C$31</f>
      </c>
      <c r="E271" s="24">
        <f>C271*D271</f>
      </c>
      <c r="F271" s="25" t="s">
        <v>60</v>
      </c>
    </row>
    <row r="272" ht="18" customHeight="1" spans="2:6" x14ac:dyDescent="0.25">
      <c r="B272" s="12" t="s">
        <v>42</v>
      </c>
      <c r="C272" s="27">
        <v>0</v>
      </c>
      <c r="D272" s="28">
        <f>C$32</f>
      </c>
      <c r="E272" s="24">
        <f>C272*D272</f>
      </c>
      <c r="F272" s="25" t="s">
        <v>60</v>
      </c>
    </row>
    <row r="273" ht="16" customHeight="1" spans="1:6" x14ac:dyDescent="0.25">
      <c r="A273" s="30" t="s">
        <v>61</v>
      </c>
      <c r="B273" s="30"/>
      <c r="C273" s="30"/>
      <c r="D273" s="30"/>
      <c r="E273" s="30"/>
      <c r="F273" s="30"/>
    </row>
    <row r="274" ht="18" customHeight="1" spans="2:6" x14ac:dyDescent="0.25">
      <c r="B274" s="12" t="s">
        <v>62</v>
      </c>
      <c r="C274" s="7">
        <v>0</v>
      </c>
      <c r="D274" s="26" t="s">
        <v>56</v>
      </c>
      <c r="E274" s="31">
        <f>C274</f>
      </c>
      <c r="F274" s="32" t="s">
        <v>63</v>
      </c>
    </row>
    <row r="275" ht="18" customHeight="1" spans="2:6" x14ac:dyDescent="0.25">
      <c r="B275" s="12" t="s">
        <v>64</v>
      </c>
      <c r="C275" s="7">
        <v>0</v>
      </c>
      <c r="D275" s="26" t="s">
        <v>56</v>
      </c>
      <c r="E275" s="31">
        <f>C275</f>
      </c>
      <c r="F275" s="32" t="s">
        <v>63</v>
      </c>
    </row>
    <row r="276" ht="18" customHeight="1" spans="2:6" x14ac:dyDescent="0.25">
      <c r="B276" s="12" t="s">
        <v>65</v>
      </c>
      <c r="C276" s="27">
        <v>0</v>
      </c>
      <c r="D276" s="28">
        <f>C$34</f>
      </c>
      <c r="E276" s="31">
        <f>C276*D276</f>
      </c>
      <c r="F276" s="32" t="s">
        <v>63</v>
      </c>
    </row>
    <row r="277" ht="3" customHeight="1" spans="1:6" x14ac:dyDescent="0.25">
      <c r="A277" s="33"/>
      <c r="B277" s="33"/>
      <c r="C277" s="33"/>
      <c r="D277" s="33"/>
      <c r="E277" s="33"/>
      <c r="F277" s="33"/>
    </row>
    <row r="278" ht="20" customHeight="1" spans="1:5" x14ac:dyDescent="0.25">
      <c r="A278" s="34" t="s">
        <v>66</v>
      </c>
      <c r="B278" s="34"/>
      <c r="C278" s="34"/>
      <c r="D278" s="34"/>
      <c r="E278" s="35">
        <f>E260+E261+E262+E263+E264+E265+E266+E267+E268+E269+E271+E272</f>
      </c>
    </row>
    <row r="279" ht="20" customHeight="1" spans="1:5" x14ac:dyDescent="0.25">
      <c r="A279" s="36" t="s">
        <v>67</v>
      </c>
      <c r="B279" s="36"/>
      <c r="C279" s="36"/>
      <c r="D279" s="36"/>
      <c r="E279" s="31">
        <f>E274+E275+E276</f>
      </c>
    </row>
    <row r="280" ht="20" customHeight="1" spans="1:5" x14ac:dyDescent="0.25">
      <c r="A280" s="37" t="s">
        <v>68</v>
      </c>
      <c r="B280" s="37"/>
      <c r="C280" s="37"/>
      <c r="D280" s="37"/>
      <c r="E280" s="38">
        <f>E271+E272</f>
      </c>
    </row>
    <row r="281" ht="3" customHeight="1" spans="1:6" x14ac:dyDescent="0.25">
      <c r="A281" s="33"/>
      <c r="B281" s="33"/>
      <c r="C281" s="33"/>
      <c r="D281" s="33"/>
      <c r="E281" s="33"/>
      <c r="F281" s="33"/>
    </row>
    <row r="282" ht="16" customHeight="1" spans="1:6" x14ac:dyDescent="0.25">
      <c r="A282" s="39" t="s">
        <v>69</v>
      </c>
      <c r="B282" s="39"/>
      <c r="C282" s="39"/>
      <c r="D282" s="39"/>
      <c r="E282" s="39"/>
      <c r="F282" s="39"/>
    </row>
    <row r="283" ht="20" customHeight="1" spans="1:6" x14ac:dyDescent="0.25">
      <c r="A283" s="40" t="s">
        <v>70</v>
      </c>
      <c r="B283" s="40"/>
      <c r="C283" s="40"/>
      <c r="D283" s="40"/>
      <c r="E283" s="41">
        <f>E260+E261+E262+E263+E264+E265+E266+E267+E268+E269+C$10</f>
      </c>
      <c r="F283" s="42" t="s">
        <v>33</v>
      </c>
    </row>
    <row r="284" ht="20" customHeight="1" spans="1:6" x14ac:dyDescent="0.25">
      <c r="A284" s="40" t="s">
        <v>71</v>
      </c>
      <c r="B284" s="40"/>
      <c r="C284" s="40"/>
      <c r="D284" s="40"/>
      <c r="E284" s="41">
        <f>E283+E280</f>
      </c>
      <c r="F284" s="42" t="s">
        <v>72</v>
      </c>
    </row>
    <row r="285" ht="20" customHeight="1" spans="1:5" x14ac:dyDescent="0.25">
      <c r="A285" s="43" t="s">
        <v>73</v>
      </c>
      <c r="B285" s="43"/>
      <c r="C285" s="43"/>
      <c r="D285" s="44">
        <f>C$15</f>
      </c>
      <c r="E285" s="45">
        <f>E283*C$15</f>
      </c>
    </row>
    <row r="286" ht="20" customHeight="1" spans="1:5" x14ac:dyDescent="0.25">
      <c r="A286" s="43" t="s">
        <v>74</v>
      </c>
      <c r="B286" s="43"/>
      <c r="C286" s="43"/>
      <c r="D286" s="44">
        <f>C$16</f>
      </c>
      <c r="E286" s="45">
        <f>E284*C$16</f>
      </c>
    </row>
    <row r="287" ht="20" customHeight="1" spans="1:5" x14ac:dyDescent="0.25">
      <c r="A287" s="43" t="s">
        <v>75</v>
      </c>
      <c r="B287" s="43"/>
      <c r="C287" s="43"/>
      <c r="D287" s="44">
        <f>C$17</f>
      </c>
      <c r="E287" s="45">
        <f>E280*C$17</f>
      </c>
    </row>
    <row r="288" ht="20" customHeight="1" spans="1:5" x14ac:dyDescent="0.25">
      <c r="A288" s="43" t="s">
        <v>76</v>
      </c>
      <c r="B288" s="43"/>
      <c r="C288" s="43"/>
      <c r="D288" s="44">
        <f>C$18</f>
      </c>
      <c r="E288" s="45">
        <f>E284*C$18</f>
      </c>
    </row>
    <row r="289" ht="20" customHeight="1" spans="1:5" x14ac:dyDescent="0.25">
      <c r="A289" s="46" t="s">
        <v>77</v>
      </c>
      <c r="B289" s="46"/>
      <c r="C289" s="46"/>
      <c r="D289" s="46"/>
      <c r="E289" s="47">
        <f>E285+E286+E287+E288</f>
      </c>
    </row>
    <row r="290" ht="3" customHeight="1" spans="1:6" x14ac:dyDescent="0.25">
      <c r="A290" s="33"/>
      <c r="B290" s="33"/>
      <c r="C290" s="33"/>
      <c r="D290" s="33"/>
      <c r="E290" s="33"/>
      <c r="F290" s="33"/>
    </row>
    <row r="291" ht="22" customHeight="1" spans="1:5" x14ac:dyDescent="0.25">
      <c r="A291" s="48" t="s">
        <v>78</v>
      </c>
      <c r="B291" s="48"/>
      <c r="C291" s="48"/>
      <c r="D291" s="44">
        <f>F258</f>
      </c>
      <c r="E291" s="45">
        <f>E278*F258</f>
      </c>
    </row>
    <row r="292" ht="3" customHeight="1" spans="1:6" x14ac:dyDescent="0.25">
      <c r="A292" s="33"/>
      <c r="B292" s="33"/>
      <c r="C292" s="33"/>
      <c r="D292" s="33"/>
      <c r="E292" s="33"/>
      <c r="F292" s="33"/>
    </row>
    <row r="293" ht="30" customHeight="1" spans="1:6" x14ac:dyDescent="0.25">
      <c r="A293" s="49" t="s">
        <v>79</v>
      </c>
      <c r="B293" s="49"/>
      <c r="C293" s="49"/>
      <c r="D293" s="49"/>
      <c r="E293" s="50">
        <f>E278+E279-E289-E291</f>
      </c>
      <c r="F293" s="51" t="s">
        <v>80</v>
      </c>
    </row>
    <row r="294" ht="10" customHeight="1" spans="1:6" x14ac:dyDescent="0.25">
      <c r="A294" s="3"/>
      <c r="B294" s="3"/>
      <c r="C294" s="3"/>
      <c r="D294" s="3"/>
      <c r="E294" s="3"/>
      <c r="F294" s="3"/>
    </row>
    <row r="295" ht="26" customHeight="1" spans="1:6" x14ac:dyDescent="0.25">
      <c r="A295" s="19" t="s">
        <v>89</v>
      </c>
      <c r="B295" s="19"/>
      <c r="C295" s="19"/>
      <c r="D295" s="19"/>
      <c r="E295" s="20" t="s">
        <v>47</v>
      </c>
      <c r="F295" s="16">
        <f>$C$20</f>
      </c>
    </row>
    <row r="296" ht="16" customHeight="1" spans="1:6" x14ac:dyDescent="0.25">
      <c r="A296" s="21" t="s">
        <v>3</v>
      </c>
      <c r="B296" s="22" t="s">
        <v>48</v>
      </c>
      <c r="C296" s="23" t="s">
        <v>49</v>
      </c>
      <c r="D296" s="23" t="s">
        <v>50</v>
      </c>
      <c r="E296" s="23" t="s">
        <v>51</v>
      </c>
      <c r="F296" s="23" t="s">
        <v>52</v>
      </c>
    </row>
    <row r="297" ht="18" customHeight="1" spans="2:6" x14ac:dyDescent="0.25">
      <c r="B297" s="9" t="s">
        <v>53</v>
      </c>
      <c r="E297" s="24">
        <f>C$6</f>
      </c>
      <c r="F297" s="25" t="s">
        <v>54</v>
      </c>
    </row>
    <row r="298" ht="18" customHeight="1" spans="2:6" x14ac:dyDescent="0.25">
      <c r="B298" s="12" t="s">
        <v>55</v>
      </c>
      <c r="C298" s="7">
        <f>C$11</f>
      </c>
      <c r="D298" s="26" t="s">
        <v>56</v>
      </c>
      <c r="E298" s="24">
        <f>C298</f>
      </c>
      <c r="F298" s="25" t="s">
        <v>54</v>
      </c>
    </row>
    <row r="299" ht="18" customHeight="1" spans="2:6" x14ac:dyDescent="0.25">
      <c r="B299" s="12" t="s">
        <v>32</v>
      </c>
      <c r="C299" s="27">
        <v>0</v>
      </c>
      <c r="D299" s="28">
        <f>C$24</f>
      </c>
      <c r="E299" s="24">
        <f>C299*D299</f>
      </c>
      <c r="F299" s="25" t="s">
        <v>54</v>
      </c>
    </row>
    <row r="300" ht="18" customHeight="1" spans="2:6" x14ac:dyDescent="0.25">
      <c r="B300" s="12" t="s">
        <v>34</v>
      </c>
      <c r="C300" s="27">
        <v>0</v>
      </c>
      <c r="D300" s="28">
        <f>C$25</f>
      </c>
      <c r="E300" s="24">
        <f>C300*D300</f>
      </c>
      <c r="F300" s="25" t="s">
        <v>54</v>
      </c>
    </row>
    <row r="301" ht="18" customHeight="1" spans="2:6" x14ac:dyDescent="0.25">
      <c r="B301" s="12" t="s">
        <v>35</v>
      </c>
      <c r="C301" s="27">
        <v>0</v>
      </c>
      <c r="D301" s="28">
        <f>C$26</f>
      </c>
      <c r="E301" s="24">
        <f>C301*D301</f>
      </c>
      <c r="F301" s="25" t="s">
        <v>54</v>
      </c>
    </row>
    <row r="302" ht="18" customHeight="1" spans="2:6" x14ac:dyDescent="0.25">
      <c r="B302" s="12" t="s">
        <v>36</v>
      </c>
      <c r="C302" s="27">
        <v>0</v>
      </c>
      <c r="D302" s="28">
        <f>C$27</f>
      </c>
      <c r="E302" s="24">
        <f>C302*D302</f>
      </c>
      <c r="F302" s="25" t="s">
        <v>54</v>
      </c>
    </row>
    <row r="303" ht="18" customHeight="1" spans="2:6" x14ac:dyDescent="0.25">
      <c r="B303" s="12" t="s">
        <v>37</v>
      </c>
      <c r="C303" s="27">
        <v>0</v>
      </c>
      <c r="D303" s="28">
        <f>C$28</f>
      </c>
      <c r="E303" s="24">
        <f>C303*D303</f>
      </c>
      <c r="F303" s="25" t="s">
        <v>54</v>
      </c>
    </row>
    <row r="304" ht="18" customHeight="1" spans="2:6" x14ac:dyDescent="0.25">
      <c r="B304" s="12" t="s">
        <v>38</v>
      </c>
      <c r="C304" s="27">
        <v>0</v>
      </c>
      <c r="D304" s="28">
        <f>C$29</f>
      </c>
      <c r="E304" s="24">
        <f>C304*D304</f>
      </c>
      <c r="F304" s="25" t="s">
        <v>54</v>
      </c>
    </row>
    <row r="305" ht="18" customHeight="1" spans="2:6" x14ac:dyDescent="0.25">
      <c r="B305" s="12" t="s">
        <v>57</v>
      </c>
      <c r="C305" s="27">
        <v>0</v>
      </c>
      <c r="D305" s="28">
        <f>C$30</f>
      </c>
      <c r="E305" s="24">
        <f>C305*D305</f>
      </c>
      <c r="F305" s="25" t="s">
        <v>54</v>
      </c>
    </row>
    <row r="306" ht="18" customHeight="1" spans="2:6" x14ac:dyDescent="0.25">
      <c r="B306" s="12" t="s">
        <v>58</v>
      </c>
      <c r="C306" s="27">
        <v>0</v>
      </c>
      <c r="D306" s="28">
        <f>C$33</f>
      </c>
      <c r="E306" s="24">
        <f>C306*D306</f>
      </c>
      <c r="F306" s="25" t="s">
        <v>54</v>
      </c>
    </row>
    <row r="307" ht="16" customHeight="1" spans="1:6" x14ac:dyDescent="0.25">
      <c r="A307" s="29" t="s">
        <v>59</v>
      </c>
      <c r="B307" s="29"/>
      <c r="C307" s="29"/>
      <c r="D307" s="29"/>
      <c r="E307" s="29"/>
      <c r="F307" s="29"/>
    </row>
    <row r="308" ht="18" customHeight="1" spans="2:6" x14ac:dyDescent="0.25">
      <c r="B308" s="12" t="s">
        <v>40</v>
      </c>
      <c r="C308" s="27">
        <v>0</v>
      </c>
      <c r="D308" s="28">
        <f>C$31</f>
      </c>
      <c r="E308" s="24">
        <f>C308*D308</f>
      </c>
      <c r="F308" s="25" t="s">
        <v>60</v>
      </c>
    </row>
    <row r="309" ht="18" customHeight="1" spans="2:6" x14ac:dyDescent="0.25">
      <c r="B309" s="12" t="s">
        <v>42</v>
      </c>
      <c r="C309" s="27">
        <v>0</v>
      </c>
      <c r="D309" s="28">
        <f>C$32</f>
      </c>
      <c r="E309" s="24">
        <f>C309*D309</f>
      </c>
      <c r="F309" s="25" t="s">
        <v>60</v>
      </c>
    </row>
    <row r="310" ht="16" customHeight="1" spans="1:6" x14ac:dyDescent="0.25">
      <c r="A310" s="30" t="s">
        <v>61</v>
      </c>
      <c r="B310" s="30"/>
      <c r="C310" s="30"/>
      <c r="D310" s="30"/>
      <c r="E310" s="30"/>
      <c r="F310" s="30"/>
    </row>
    <row r="311" ht="18" customHeight="1" spans="2:6" x14ac:dyDescent="0.25">
      <c r="B311" s="12" t="s">
        <v>62</v>
      </c>
      <c r="C311" s="7">
        <v>0</v>
      </c>
      <c r="D311" s="26" t="s">
        <v>56</v>
      </c>
      <c r="E311" s="31">
        <f>C311</f>
      </c>
      <c r="F311" s="32" t="s">
        <v>63</v>
      </c>
    </row>
    <row r="312" ht="18" customHeight="1" spans="2:6" x14ac:dyDescent="0.25">
      <c r="B312" s="12" t="s">
        <v>64</v>
      </c>
      <c r="C312" s="7">
        <v>0</v>
      </c>
      <c r="D312" s="26" t="s">
        <v>56</v>
      </c>
      <c r="E312" s="31">
        <f>C312</f>
      </c>
      <c r="F312" s="32" t="s">
        <v>63</v>
      </c>
    </row>
    <row r="313" ht="18" customHeight="1" spans="2:6" x14ac:dyDescent="0.25">
      <c r="B313" s="12" t="s">
        <v>65</v>
      </c>
      <c r="C313" s="27">
        <v>0</v>
      </c>
      <c r="D313" s="28">
        <f>C$34</f>
      </c>
      <c r="E313" s="31">
        <f>C313*D313</f>
      </c>
      <c r="F313" s="32" t="s">
        <v>63</v>
      </c>
    </row>
    <row r="314" ht="3" customHeight="1" spans="1:6" x14ac:dyDescent="0.25">
      <c r="A314" s="33"/>
      <c r="B314" s="33"/>
      <c r="C314" s="33"/>
      <c r="D314" s="33"/>
      <c r="E314" s="33"/>
      <c r="F314" s="33"/>
    </row>
    <row r="315" ht="20" customHeight="1" spans="1:5" x14ac:dyDescent="0.25">
      <c r="A315" s="34" t="s">
        <v>66</v>
      </c>
      <c r="B315" s="34"/>
      <c r="C315" s="34"/>
      <c r="D315" s="34"/>
      <c r="E315" s="35">
        <f>E297+E298+E299+E300+E301+E302+E303+E304+E305+E306+E308+E309</f>
      </c>
    </row>
    <row r="316" ht="20" customHeight="1" spans="1:5" x14ac:dyDescent="0.25">
      <c r="A316" s="36" t="s">
        <v>67</v>
      </c>
      <c r="B316" s="36"/>
      <c r="C316" s="36"/>
      <c r="D316" s="36"/>
      <c r="E316" s="31">
        <f>E311+E312+E313</f>
      </c>
    </row>
    <row r="317" ht="20" customHeight="1" spans="1:5" x14ac:dyDescent="0.25">
      <c r="A317" s="37" t="s">
        <v>68</v>
      </c>
      <c r="B317" s="37"/>
      <c r="C317" s="37"/>
      <c r="D317" s="37"/>
      <c r="E317" s="38">
        <f>E308+E309</f>
      </c>
    </row>
    <row r="318" ht="3" customHeight="1" spans="1:6" x14ac:dyDescent="0.25">
      <c r="A318" s="33"/>
      <c r="B318" s="33"/>
      <c r="C318" s="33"/>
      <c r="D318" s="33"/>
      <c r="E318" s="33"/>
      <c r="F318" s="33"/>
    </row>
    <row r="319" ht="16" customHeight="1" spans="1:6" x14ac:dyDescent="0.25">
      <c r="A319" s="39" t="s">
        <v>69</v>
      </c>
      <c r="B319" s="39"/>
      <c r="C319" s="39"/>
      <c r="D319" s="39"/>
      <c r="E319" s="39"/>
      <c r="F319" s="39"/>
    </row>
    <row r="320" ht="20" customHeight="1" spans="1:6" x14ac:dyDescent="0.25">
      <c r="A320" s="40" t="s">
        <v>70</v>
      </c>
      <c r="B320" s="40"/>
      <c r="C320" s="40"/>
      <c r="D320" s="40"/>
      <c r="E320" s="41">
        <f>E297+E298+E299+E300+E301+E302+E303+E304+E305+E306+C$10</f>
      </c>
      <c r="F320" s="42" t="s">
        <v>33</v>
      </c>
    </row>
    <row r="321" ht="20" customHeight="1" spans="1:6" x14ac:dyDescent="0.25">
      <c r="A321" s="40" t="s">
        <v>71</v>
      </c>
      <c r="B321" s="40"/>
      <c r="C321" s="40"/>
      <c r="D321" s="40"/>
      <c r="E321" s="41">
        <f>E320+E317</f>
      </c>
      <c r="F321" s="42" t="s">
        <v>72</v>
      </c>
    </row>
    <row r="322" ht="20" customHeight="1" spans="1:5" x14ac:dyDescent="0.25">
      <c r="A322" s="43" t="s">
        <v>73</v>
      </c>
      <c r="B322" s="43"/>
      <c r="C322" s="43"/>
      <c r="D322" s="44">
        <f>C$15</f>
      </c>
      <c r="E322" s="45">
        <f>E320*C$15</f>
      </c>
    </row>
    <row r="323" ht="20" customHeight="1" spans="1:5" x14ac:dyDescent="0.25">
      <c r="A323" s="43" t="s">
        <v>74</v>
      </c>
      <c r="B323" s="43"/>
      <c r="C323" s="43"/>
      <c r="D323" s="44">
        <f>C$16</f>
      </c>
      <c r="E323" s="45">
        <f>E321*C$16</f>
      </c>
    </row>
    <row r="324" ht="20" customHeight="1" spans="1:5" x14ac:dyDescent="0.25">
      <c r="A324" s="43" t="s">
        <v>75</v>
      </c>
      <c r="B324" s="43"/>
      <c r="C324" s="43"/>
      <c r="D324" s="44">
        <f>C$17</f>
      </c>
      <c r="E324" s="45">
        <f>E317*C$17</f>
      </c>
    </row>
    <row r="325" ht="20" customHeight="1" spans="1:5" x14ac:dyDescent="0.25">
      <c r="A325" s="43" t="s">
        <v>76</v>
      </c>
      <c r="B325" s="43"/>
      <c r="C325" s="43"/>
      <c r="D325" s="44">
        <f>C$18</f>
      </c>
      <c r="E325" s="45">
        <f>E321*C$18</f>
      </c>
    </row>
    <row r="326" ht="20" customHeight="1" spans="1:5" x14ac:dyDescent="0.25">
      <c r="A326" s="46" t="s">
        <v>77</v>
      </c>
      <c r="B326" s="46"/>
      <c r="C326" s="46"/>
      <c r="D326" s="46"/>
      <c r="E326" s="47">
        <f>E322+E323+E324+E325</f>
      </c>
    </row>
    <row r="327" ht="3" customHeight="1" spans="1:6" x14ac:dyDescent="0.25">
      <c r="A327" s="33"/>
      <c r="B327" s="33"/>
      <c r="C327" s="33"/>
      <c r="D327" s="33"/>
      <c r="E327" s="33"/>
      <c r="F327" s="33"/>
    </row>
    <row r="328" ht="22" customHeight="1" spans="1:5" x14ac:dyDescent="0.25">
      <c r="A328" s="48" t="s">
        <v>78</v>
      </c>
      <c r="B328" s="48"/>
      <c r="C328" s="48"/>
      <c r="D328" s="44">
        <f>F295</f>
      </c>
      <c r="E328" s="45">
        <f>E315*F295</f>
      </c>
    </row>
    <row r="329" ht="3" customHeight="1" spans="1:6" x14ac:dyDescent="0.25">
      <c r="A329" s="33"/>
      <c r="B329" s="33"/>
      <c r="C329" s="33"/>
      <c r="D329" s="33"/>
      <c r="E329" s="33"/>
      <c r="F329" s="33"/>
    </row>
    <row r="330" ht="30" customHeight="1" spans="1:6" x14ac:dyDescent="0.25">
      <c r="A330" s="49" t="s">
        <v>79</v>
      </c>
      <c r="B330" s="49"/>
      <c r="C330" s="49"/>
      <c r="D330" s="49"/>
      <c r="E330" s="50">
        <f>E315+E316-E326-E328</f>
      </c>
      <c r="F330" s="51" t="s">
        <v>80</v>
      </c>
    </row>
    <row r="331" ht="10" customHeight="1" spans="1:6" x14ac:dyDescent="0.25">
      <c r="A331" s="3"/>
      <c r="B331" s="3"/>
      <c r="C331" s="3"/>
      <c r="D331" s="3"/>
      <c r="E331" s="3"/>
      <c r="F331" s="3"/>
    </row>
    <row r="332" ht="26" customHeight="1" spans="1:6" x14ac:dyDescent="0.25">
      <c r="A332" s="19" t="s">
        <v>90</v>
      </c>
      <c r="B332" s="19"/>
      <c r="C332" s="19"/>
      <c r="D332" s="19"/>
      <c r="E332" s="20" t="s">
        <v>85</v>
      </c>
      <c r="F332" s="16">
        <f>$C$20</f>
      </c>
    </row>
    <row r="333" ht="16" customHeight="1" spans="1:6" x14ac:dyDescent="0.25">
      <c r="A333" s="21" t="s">
        <v>3</v>
      </c>
      <c r="B333" s="22" t="s">
        <v>48</v>
      </c>
      <c r="C333" s="23" t="s">
        <v>49</v>
      </c>
      <c r="D333" s="23" t="s">
        <v>50</v>
      </c>
      <c r="E333" s="23" t="s">
        <v>51</v>
      </c>
      <c r="F333" s="23" t="s">
        <v>52</v>
      </c>
    </row>
    <row r="334" ht="18" customHeight="1" spans="2:6" x14ac:dyDescent="0.25">
      <c r="B334" s="9" t="s">
        <v>53</v>
      </c>
      <c r="E334" s="24">
        <f>C$6</f>
      </c>
      <c r="F334" s="25" t="s">
        <v>54</v>
      </c>
    </row>
    <row r="335" ht="18" customHeight="1" spans="2:6" x14ac:dyDescent="0.25">
      <c r="B335" s="12" t="s">
        <v>55</v>
      </c>
      <c r="C335" s="7">
        <f>C$11</f>
      </c>
      <c r="D335" s="26" t="s">
        <v>56</v>
      </c>
      <c r="E335" s="24">
        <f>C335</f>
      </c>
      <c r="F335" s="25" t="s">
        <v>54</v>
      </c>
    </row>
    <row r="336" ht="18" customHeight="1" spans="2:6" x14ac:dyDescent="0.25">
      <c r="B336" s="12" t="s">
        <v>32</v>
      </c>
      <c r="C336" s="27">
        <v>0</v>
      </c>
      <c r="D336" s="28">
        <f>C$24</f>
      </c>
      <c r="E336" s="24">
        <f>C336*D336</f>
      </c>
      <c r="F336" s="25" t="s">
        <v>54</v>
      </c>
    </row>
    <row r="337" ht="18" customHeight="1" spans="2:6" x14ac:dyDescent="0.25">
      <c r="B337" s="12" t="s">
        <v>34</v>
      </c>
      <c r="C337" s="27">
        <v>0</v>
      </c>
      <c r="D337" s="28">
        <f>C$25</f>
      </c>
      <c r="E337" s="24">
        <f>C337*D337</f>
      </c>
      <c r="F337" s="25" t="s">
        <v>54</v>
      </c>
    </row>
    <row r="338" ht="18" customHeight="1" spans="2:6" x14ac:dyDescent="0.25">
      <c r="B338" s="12" t="s">
        <v>35</v>
      </c>
      <c r="C338" s="27">
        <v>0</v>
      </c>
      <c r="D338" s="28">
        <f>C$26</f>
      </c>
      <c r="E338" s="24">
        <f>C338*D338</f>
      </c>
      <c r="F338" s="25" t="s">
        <v>54</v>
      </c>
    </row>
    <row r="339" ht="18" customHeight="1" spans="2:6" x14ac:dyDescent="0.25">
      <c r="B339" s="12" t="s">
        <v>36</v>
      </c>
      <c r="C339" s="27">
        <v>0</v>
      </c>
      <c r="D339" s="28">
        <f>C$27</f>
      </c>
      <c r="E339" s="24">
        <f>C339*D339</f>
      </c>
      <c r="F339" s="25" t="s">
        <v>54</v>
      </c>
    </row>
    <row r="340" ht="18" customHeight="1" spans="2:6" x14ac:dyDescent="0.25">
      <c r="B340" s="12" t="s">
        <v>37</v>
      </c>
      <c r="C340" s="27">
        <v>0</v>
      </c>
      <c r="D340" s="28">
        <f>C$28</f>
      </c>
      <c r="E340" s="24">
        <f>C340*D340</f>
      </c>
      <c r="F340" s="25" t="s">
        <v>54</v>
      </c>
    </row>
    <row r="341" ht="18" customHeight="1" spans="2:6" x14ac:dyDescent="0.25">
      <c r="B341" s="12" t="s">
        <v>38</v>
      </c>
      <c r="C341" s="27">
        <v>0</v>
      </c>
      <c r="D341" s="28">
        <f>C$29</f>
      </c>
      <c r="E341" s="24">
        <f>C341*D341</f>
      </c>
      <c r="F341" s="25" t="s">
        <v>54</v>
      </c>
    </row>
    <row r="342" ht="18" customHeight="1" spans="2:6" x14ac:dyDescent="0.25">
      <c r="B342" s="12" t="s">
        <v>57</v>
      </c>
      <c r="C342" s="27">
        <v>0</v>
      </c>
      <c r="D342" s="28">
        <f>C$30</f>
      </c>
      <c r="E342" s="24">
        <f>C342*D342</f>
      </c>
      <c r="F342" s="25" t="s">
        <v>54</v>
      </c>
    </row>
    <row r="343" ht="18" customHeight="1" spans="2:6" x14ac:dyDescent="0.25">
      <c r="B343" s="12" t="s">
        <v>58</v>
      </c>
      <c r="C343" s="27">
        <v>0</v>
      </c>
      <c r="D343" s="28">
        <f>C$33</f>
      </c>
      <c r="E343" s="24">
        <f>C343*D343</f>
      </c>
      <c r="F343" s="25" t="s">
        <v>54</v>
      </c>
    </row>
    <row r="344" ht="16" customHeight="1" spans="1:6" x14ac:dyDescent="0.25">
      <c r="A344" s="29" t="s">
        <v>59</v>
      </c>
      <c r="B344" s="29"/>
      <c r="C344" s="29"/>
      <c r="D344" s="29"/>
      <c r="E344" s="29"/>
      <c r="F344" s="29"/>
    </row>
    <row r="345" ht="18" customHeight="1" spans="2:6" x14ac:dyDescent="0.25">
      <c r="B345" s="12" t="s">
        <v>40</v>
      </c>
      <c r="C345" s="27">
        <v>0</v>
      </c>
      <c r="D345" s="28">
        <f>C$31</f>
      </c>
      <c r="E345" s="24">
        <f>C345*D345</f>
      </c>
      <c r="F345" s="25" t="s">
        <v>60</v>
      </c>
    </row>
    <row r="346" ht="18" customHeight="1" spans="2:6" x14ac:dyDescent="0.25">
      <c r="B346" s="12" t="s">
        <v>42</v>
      </c>
      <c r="C346" s="27">
        <v>0</v>
      </c>
      <c r="D346" s="28">
        <f>C$32</f>
      </c>
      <c r="E346" s="24">
        <f>C346*D346</f>
      </c>
      <c r="F346" s="25" t="s">
        <v>60</v>
      </c>
    </row>
    <row r="347" ht="16" customHeight="1" spans="1:6" x14ac:dyDescent="0.25">
      <c r="A347" s="30" t="s">
        <v>61</v>
      </c>
      <c r="B347" s="30"/>
      <c r="C347" s="30"/>
      <c r="D347" s="30"/>
      <c r="E347" s="30"/>
      <c r="F347" s="30"/>
    </row>
    <row r="348" ht="18" customHeight="1" spans="2:6" x14ac:dyDescent="0.25">
      <c r="B348" s="12" t="s">
        <v>62</v>
      </c>
      <c r="C348" s="7">
        <v>0</v>
      </c>
      <c r="D348" s="26" t="s">
        <v>56</v>
      </c>
      <c r="E348" s="31">
        <f>C348</f>
      </c>
      <c r="F348" s="32" t="s">
        <v>63</v>
      </c>
    </row>
    <row r="349" ht="18" customHeight="1" spans="2:6" x14ac:dyDescent="0.25">
      <c r="B349" s="12" t="s">
        <v>64</v>
      </c>
      <c r="C349" s="7">
        <v>0</v>
      </c>
      <c r="D349" s="26" t="s">
        <v>56</v>
      </c>
      <c r="E349" s="31">
        <f>C349</f>
      </c>
      <c r="F349" s="32" t="s">
        <v>63</v>
      </c>
    </row>
    <row r="350" ht="18" customHeight="1" spans="2:6" x14ac:dyDescent="0.25">
      <c r="B350" s="12" t="s">
        <v>65</v>
      </c>
      <c r="C350" s="27">
        <v>0</v>
      </c>
      <c r="D350" s="28">
        <f>C$34</f>
      </c>
      <c r="E350" s="31">
        <f>C350*D350</f>
      </c>
      <c r="F350" s="32" t="s">
        <v>63</v>
      </c>
    </row>
    <row r="351" ht="3" customHeight="1" spans="1:6" x14ac:dyDescent="0.25">
      <c r="A351" s="33"/>
      <c r="B351" s="33"/>
      <c r="C351" s="33"/>
      <c r="D351" s="33"/>
      <c r="E351" s="33"/>
      <c r="F351" s="33"/>
    </row>
    <row r="352" ht="20" customHeight="1" spans="1:5" x14ac:dyDescent="0.25">
      <c r="A352" s="34" t="s">
        <v>66</v>
      </c>
      <c r="B352" s="34"/>
      <c r="C352" s="34"/>
      <c r="D352" s="34"/>
      <c r="E352" s="35">
        <f>E334+E335+E336+E337+E338+E339+E340+E341+E342+E343+E345+E346</f>
      </c>
    </row>
    <row r="353" ht="20" customHeight="1" spans="1:5" x14ac:dyDescent="0.25">
      <c r="A353" s="36" t="s">
        <v>67</v>
      </c>
      <c r="B353" s="36"/>
      <c r="C353" s="36"/>
      <c r="D353" s="36"/>
      <c r="E353" s="31">
        <f>E348+E349+E350</f>
      </c>
    </row>
    <row r="354" ht="20" customHeight="1" spans="1:5" x14ac:dyDescent="0.25">
      <c r="A354" s="37" t="s">
        <v>68</v>
      </c>
      <c r="B354" s="37"/>
      <c r="C354" s="37"/>
      <c r="D354" s="37"/>
      <c r="E354" s="38">
        <f>E345+E346</f>
      </c>
    </row>
    <row r="355" ht="3" customHeight="1" spans="1:6" x14ac:dyDescent="0.25">
      <c r="A355" s="33"/>
      <c r="B355" s="33"/>
      <c r="C355" s="33"/>
      <c r="D355" s="33"/>
      <c r="E355" s="33"/>
      <c r="F355" s="33"/>
    </row>
    <row r="356" ht="16" customHeight="1" spans="1:6" x14ac:dyDescent="0.25">
      <c r="A356" s="39" t="s">
        <v>69</v>
      </c>
      <c r="B356" s="39"/>
      <c r="C356" s="39"/>
      <c r="D356" s="39"/>
      <c r="E356" s="39"/>
      <c r="F356" s="39"/>
    </row>
    <row r="357" ht="20" customHeight="1" spans="1:6" x14ac:dyDescent="0.25">
      <c r="A357" s="40" t="s">
        <v>70</v>
      </c>
      <c r="B357" s="40"/>
      <c r="C357" s="40"/>
      <c r="D357" s="40"/>
      <c r="E357" s="41">
        <f>E334+E335+E336+E337+E338+E339+E340+E341+E342+E343+C$10</f>
      </c>
      <c r="F357" s="42" t="s">
        <v>33</v>
      </c>
    </row>
    <row r="358" ht="20" customHeight="1" spans="1:6" x14ac:dyDescent="0.25">
      <c r="A358" s="40" t="s">
        <v>71</v>
      </c>
      <c r="B358" s="40"/>
      <c r="C358" s="40"/>
      <c r="D358" s="40"/>
      <c r="E358" s="41">
        <f>E357+E354</f>
      </c>
      <c r="F358" s="42" t="s">
        <v>72</v>
      </c>
    </row>
    <row r="359" ht="20" customHeight="1" spans="1:5" x14ac:dyDescent="0.25">
      <c r="A359" s="43" t="s">
        <v>73</v>
      </c>
      <c r="B359" s="43"/>
      <c r="C359" s="43"/>
      <c r="D359" s="44">
        <f>C$15</f>
      </c>
      <c r="E359" s="45">
        <f>E357*C$15</f>
      </c>
    </row>
    <row r="360" ht="20" customHeight="1" spans="1:5" x14ac:dyDescent="0.25">
      <c r="A360" s="43" t="s">
        <v>74</v>
      </c>
      <c r="B360" s="43"/>
      <c r="C360" s="43"/>
      <c r="D360" s="44">
        <f>C$16</f>
      </c>
      <c r="E360" s="45">
        <f>E358*C$16</f>
      </c>
    </row>
    <row r="361" ht="20" customHeight="1" spans="1:5" x14ac:dyDescent="0.25">
      <c r="A361" s="43" t="s">
        <v>75</v>
      </c>
      <c r="B361" s="43"/>
      <c r="C361" s="43"/>
      <c r="D361" s="44">
        <f>C$17</f>
      </c>
      <c r="E361" s="45">
        <f>E354*C$17</f>
      </c>
    </row>
    <row r="362" ht="20" customHeight="1" spans="1:5" x14ac:dyDescent="0.25">
      <c r="A362" s="43" t="s">
        <v>76</v>
      </c>
      <c r="B362" s="43"/>
      <c r="C362" s="43"/>
      <c r="D362" s="44">
        <f>C$18</f>
      </c>
      <c r="E362" s="45">
        <f>E358*C$18</f>
      </c>
    </row>
    <row r="363" ht="20" customHeight="1" spans="1:5" x14ac:dyDescent="0.25">
      <c r="A363" s="46" t="s">
        <v>77</v>
      </c>
      <c r="B363" s="46"/>
      <c r="C363" s="46"/>
      <c r="D363" s="46"/>
      <c r="E363" s="47">
        <f>E359+E360+E361+E362</f>
      </c>
    </row>
    <row r="364" ht="3" customHeight="1" spans="1:6" x14ac:dyDescent="0.25">
      <c r="A364" s="33"/>
      <c r="B364" s="33"/>
      <c r="C364" s="33"/>
      <c r="D364" s="33"/>
      <c r="E364" s="33"/>
      <c r="F364" s="33"/>
    </row>
    <row r="365" ht="22" customHeight="1" spans="1:5" x14ac:dyDescent="0.25">
      <c r="A365" s="48" t="s">
        <v>78</v>
      </c>
      <c r="B365" s="48"/>
      <c r="C365" s="48"/>
      <c r="D365" s="44">
        <f>F332</f>
      </c>
      <c r="E365" s="45">
        <f>E352*F332</f>
      </c>
    </row>
    <row r="366" ht="3" customHeight="1" spans="1:6" x14ac:dyDescent="0.25">
      <c r="A366" s="33"/>
      <c r="B366" s="33"/>
      <c r="C366" s="33"/>
      <c r="D366" s="33"/>
      <c r="E366" s="33"/>
      <c r="F366" s="33"/>
    </row>
    <row r="367" ht="30" customHeight="1" spans="1:6" x14ac:dyDescent="0.25">
      <c r="A367" s="49" t="s">
        <v>79</v>
      </c>
      <c r="B367" s="49"/>
      <c r="C367" s="49"/>
      <c r="D367" s="49"/>
      <c r="E367" s="50">
        <f>E352+E353-E363-E365</f>
      </c>
      <c r="F367" s="51" t="s">
        <v>80</v>
      </c>
    </row>
    <row r="368" ht="10" customHeight="1" spans="1:6" x14ac:dyDescent="0.25">
      <c r="A368" s="3"/>
      <c r="B368" s="3"/>
      <c r="C368" s="3"/>
      <c r="D368" s="3"/>
      <c r="E368" s="3"/>
      <c r="F368" s="3"/>
    </row>
    <row r="369" ht="26" customHeight="1" spans="1:6" x14ac:dyDescent="0.25">
      <c r="A369" s="19" t="s">
        <v>91</v>
      </c>
      <c r="B369" s="19"/>
      <c r="C369" s="19"/>
      <c r="D369" s="19"/>
      <c r="E369" s="20" t="s">
        <v>47</v>
      </c>
      <c r="F369" s="16">
        <f>$C$20</f>
      </c>
    </row>
    <row r="370" ht="16" customHeight="1" spans="1:6" x14ac:dyDescent="0.25">
      <c r="A370" s="21" t="s">
        <v>3</v>
      </c>
      <c r="B370" s="22" t="s">
        <v>48</v>
      </c>
      <c r="C370" s="23" t="s">
        <v>49</v>
      </c>
      <c r="D370" s="23" t="s">
        <v>50</v>
      </c>
      <c r="E370" s="23" t="s">
        <v>51</v>
      </c>
      <c r="F370" s="23" t="s">
        <v>52</v>
      </c>
    </row>
    <row r="371" ht="18" customHeight="1" spans="2:6" x14ac:dyDescent="0.25">
      <c r="B371" s="9" t="s">
        <v>53</v>
      </c>
      <c r="E371" s="24">
        <f>C$6</f>
      </c>
      <c r="F371" s="25" t="s">
        <v>54</v>
      </c>
    </row>
    <row r="372" ht="18" customHeight="1" spans="2:6" x14ac:dyDescent="0.25">
      <c r="B372" s="12" t="s">
        <v>55</v>
      </c>
      <c r="C372" s="7">
        <f>C$11</f>
      </c>
      <c r="D372" s="26" t="s">
        <v>56</v>
      </c>
      <c r="E372" s="24">
        <f>C372</f>
      </c>
      <c r="F372" s="25" t="s">
        <v>54</v>
      </c>
    </row>
    <row r="373" ht="18" customHeight="1" spans="2:6" x14ac:dyDescent="0.25">
      <c r="B373" s="12" t="s">
        <v>32</v>
      </c>
      <c r="C373" s="27">
        <v>0</v>
      </c>
      <c r="D373" s="28">
        <f>C$24</f>
      </c>
      <c r="E373" s="24">
        <f>C373*D373</f>
      </c>
      <c r="F373" s="25" t="s">
        <v>54</v>
      </c>
    </row>
    <row r="374" ht="18" customHeight="1" spans="2:6" x14ac:dyDescent="0.25">
      <c r="B374" s="12" t="s">
        <v>34</v>
      </c>
      <c r="C374" s="27">
        <v>0</v>
      </c>
      <c r="D374" s="28">
        <f>C$25</f>
      </c>
      <c r="E374" s="24">
        <f>C374*D374</f>
      </c>
      <c r="F374" s="25" t="s">
        <v>54</v>
      </c>
    </row>
    <row r="375" ht="18" customHeight="1" spans="2:6" x14ac:dyDescent="0.25">
      <c r="B375" s="12" t="s">
        <v>35</v>
      </c>
      <c r="C375" s="27">
        <v>0</v>
      </c>
      <c r="D375" s="28">
        <f>C$26</f>
      </c>
      <c r="E375" s="24">
        <f>C375*D375</f>
      </c>
      <c r="F375" s="25" t="s">
        <v>54</v>
      </c>
    </row>
    <row r="376" ht="18" customHeight="1" spans="2:6" x14ac:dyDescent="0.25">
      <c r="B376" s="12" t="s">
        <v>36</v>
      </c>
      <c r="C376" s="27">
        <v>0</v>
      </c>
      <c r="D376" s="28">
        <f>C$27</f>
      </c>
      <c r="E376" s="24">
        <f>C376*D376</f>
      </c>
      <c r="F376" s="25" t="s">
        <v>54</v>
      </c>
    </row>
    <row r="377" ht="18" customHeight="1" spans="2:6" x14ac:dyDescent="0.25">
      <c r="B377" s="12" t="s">
        <v>37</v>
      </c>
      <c r="C377" s="27">
        <v>0</v>
      </c>
      <c r="D377" s="28">
        <f>C$28</f>
      </c>
      <c r="E377" s="24">
        <f>C377*D377</f>
      </c>
      <c r="F377" s="25" t="s">
        <v>54</v>
      </c>
    </row>
    <row r="378" ht="18" customHeight="1" spans="2:6" x14ac:dyDescent="0.25">
      <c r="B378" s="12" t="s">
        <v>38</v>
      </c>
      <c r="C378" s="27">
        <v>0</v>
      </c>
      <c r="D378" s="28">
        <f>C$29</f>
      </c>
      <c r="E378" s="24">
        <f>C378*D378</f>
      </c>
      <c r="F378" s="25" t="s">
        <v>54</v>
      </c>
    </row>
    <row r="379" ht="18" customHeight="1" spans="2:6" x14ac:dyDescent="0.25">
      <c r="B379" s="12" t="s">
        <v>57</v>
      </c>
      <c r="C379" s="27">
        <v>0</v>
      </c>
      <c r="D379" s="28">
        <f>C$30</f>
      </c>
      <c r="E379" s="24">
        <f>C379*D379</f>
      </c>
      <c r="F379" s="25" t="s">
        <v>54</v>
      </c>
    </row>
    <row r="380" ht="18" customHeight="1" spans="2:6" x14ac:dyDescent="0.25">
      <c r="B380" s="12" t="s">
        <v>58</v>
      </c>
      <c r="C380" s="27">
        <v>0</v>
      </c>
      <c r="D380" s="28">
        <f>C$33</f>
      </c>
      <c r="E380" s="24">
        <f>C380*D380</f>
      </c>
      <c r="F380" s="25" t="s">
        <v>54</v>
      </c>
    </row>
    <row r="381" ht="16" customHeight="1" spans="1:6" x14ac:dyDescent="0.25">
      <c r="A381" s="29" t="s">
        <v>59</v>
      </c>
      <c r="B381" s="29"/>
      <c r="C381" s="29"/>
      <c r="D381" s="29"/>
      <c r="E381" s="29"/>
      <c r="F381" s="29"/>
    </row>
    <row r="382" ht="18" customHeight="1" spans="2:6" x14ac:dyDescent="0.25">
      <c r="B382" s="12" t="s">
        <v>40</v>
      </c>
      <c r="C382" s="27">
        <v>0</v>
      </c>
      <c r="D382" s="28">
        <f>C$31</f>
      </c>
      <c r="E382" s="24">
        <f>C382*D382</f>
      </c>
      <c r="F382" s="25" t="s">
        <v>60</v>
      </c>
    </row>
    <row r="383" ht="18" customHeight="1" spans="2:6" x14ac:dyDescent="0.25">
      <c r="B383" s="12" t="s">
        <v>42</v>
      </c>
      <c r="C383" s="27">
        <v>0</v>
      </c>
      <c r="D383" s="28">
        <f>C$32</f>
      </c>
      <c r="E383" s="24">
        <f>C383*D383</f>
      </c>
      <c r="F383" s="25" t="s">
        <v>60</v>
      </c>
    </row>
    <row r="384" ht="16" customHeight="1" spans="1:6" x14ac:dyDescent="0.25">
      <c r="A384" s="30" t="s">
        <v>61</v>
      </c>
      <c r="B384" s="30"/>
      <c r="C384" s="30"/>
      <c r="D384" s="30"/>
      <c r="E384" s="30"/>
      <c r="F384" s="30"/>
    </row>
    <row r="385" ht="18" customHeight="1" spans="2:6" x14ac:dyDescent="0.25">
      <c r="B385" s="12" t="s">
        <v>62</v>
      </c>
      <c r="C385" s="7">
        <v>0</v>
      </c>
      <c r="D385" s="26" t="s">
        <v>56</v>
      </c>
      <c r="E385" s="31">
        <f>C385</f>
      </c>
      <c r="F385" s="32" t="s">
        <v>63</v>
      </c>
    </row>
    <row r="386" ht="18" customHeight="1" spans="2:6" x14ac:dyDescent="0.25">
      <c r="B386" s="12" t="s">
        <v>64</v>
      </c>
      <c r="C386" s="7">
        <v>0</v>
      </c>
      <c r="D386" s="26" t="s">
        <v>56</v>
      </c>
      <c r="E386" s="31">
        <f>C386</f>
      </c>
      <c r="F386" s="32" t="s">
        <v>63</v>
      </c>
    </row>
    <row r="387" ht="18" customHeight="1" spans="2:6" x14ac:dyDescent="0.25">
      <c r="B387" s="12" t="s">
        <v>65</v>
      </c>
      <c r="C387" s="27">
        <v>0</v>
      </c>
      <c r="D387" s="28">
        <f>C$34</f>
      </c>
      <c r="E387" s="31">
        <f>C387*D387</f>
      </c>
      <c r="F387" s="32" t="s">
        <v>63</v>
      </c>
    </row>
    <row r="388" ht="3" customHeight="1" spans="1:6" x14ac:dyDescent="0.25">
      <c r="A388" s="33"/>
      <c r="B388" s="33"/>
      <c r="C388" s="33"/>
      <c r="D388" s="33"/>
      <c r="E388" s="33"/>
      <c r="F388" s="33"/>
    </row>
    <row r="389" ht="20" customHeight="1" spans="1:5" x14ac:dyDescent="0.25">
      <c r="A389" s="34" t="s">
        <v>66</v>
      </c>
      <c r="B389" s="34"/>
      <c r="C389" s="34"/>
      <c r="D389" s="34"/>
      <c r="E389" s="35">
        <f>E371+E372+E373+E374+E375+E376+E377+E378+E379+E380+E382+E383</f>
      </c>
    </row>
    <row r="390" ht="20" customHeight="1" spans="1:5" x14ac:dyDescent="0.25">
      <c r="A390" s="36" t="s">
        <v>67</v>
      </c>
      <c r="B390" s="36"/>
      <c r="C390" s="36"/>
      <c r="D390" s="36"/>
      <c r="E390" s="31">
        <f>E385+E386+E387</f>
      </c>
    </row>
    <row r="391" ht="20" customHeight="1" spans="1:5" x14ac:dyDescent="0.25">
      <c r="A391" s="37" t="s">
        <v>68</v>
      </c>
      <c r="B391" s="37"/>
      <c r="C391" s="37"/>
      <c r="D391" s="37"/>
      <c r="E391" s="38">
        <f>E382+E383</f>
      </c>
    </row>
    <row r="392" ht="3" customHeight="1" spans="1:6" x14ac:dyDescent="0.25">
      <c r="A392" s="33"/>
      <c r="B392" s="33"/>
      <c r="C392" s="33"/>
      <c r="D392" s="33"/>
      <c r="E392" s="33"/>
      <c r="F392" s="33"/>
    </row>
    <row r="393" ht="16" customHeight="1" spans="1:6" x14ac:dyDescent="0.25">
      <c r="A393" s="39" t="s">
        <v>69</v>
      </c>
      <c r="B393" s="39"/>
      <c r="C393" s="39"/>
      <c r="D393" s="39"/>
      <c r="E393" s="39"/>
      <c r="F393" s="39"/>
    </row>
    <row r="394" ht="20" customHeight="1" spans="1:6" x14ac:dyDescent="0.25">
      <c r="A394" s="40" t="s">
        <v>70</v>
      </c>
      <c r="B394" s="40"/>
      <c r="C394" s="40"/>
      <c r="D394" s="40"/>
      <c r="E394" s="41">
        <f>E371+E372+E373+E374+E375+E376+E377+E378+E379+E380+C$10</f>
      </c>
      <c r="F394" s="42" t="s">
        <v>33</v>
      </c>
    </row>
    <row r="395" ht="20" customHeight="1" spans="1:6" x14ac:dyDescent="0.25">
      <c r="A395" s="40" t="s">
        <v>71</v>
      </c>
      <c r="B395" s="40"/>
      <c r="C395" s="40"/>
      <c r="D395" s="40"/>
      <c r="E395" s="41">
        <f>E394+E391</f>
      </c>
      <c r="F395" s="42" t="s">
        <v>72</v>
      </c>
    </row>
    <row r="396" ht="20" customHeight="1" spans="1:5" x14ac:dyDescent="0.25">
      <c r="A396" s="43" t="s">
        <v>73</v>
      </c>
      <c r="B396" s="43"/>
      <c r="C396" s="43"/>
      <c r="D396" s="44">
        <f>C$15</f>
      </c>
      <c r="E396" s="45">
        <f>E394*C$15</f>
      </c>
    </row>
    <row r="397" ht="20" customHeight="1" spans="1:5" x14ac:dyDescent="0.25">
      <c r="A397" s="43" t="s">
        <v>74</v>
      </c>
      <c r="B397" s="43"/>
      <c r="C397" s="43"/>
      <c r="D397" s="44">
        <f>C$16</f>
      </c>
      <c r="E397" s="45">
        <f>E395*C$16</f>
      </c>
    </row>
    <row r="398" ht="20" customHeight="1" spans="1:5" x14ac:dyDescent="0.25">
      <c r="A398" s="43" t="s">
        <v>75</v>
      </c>
      <c r="B398" s="43"/>
      <c r="C398" s="43"/>
      <c r="D398" s="44">
        <f>C$17</f>
      </c>
      <c r="E398" s="45">
        <f>E391*C$17</f>
      </c>
    </row>
    <row r="399" ht="20" customHeight="1" spans="1:5" x14ac:dyDescent="0.25">
      <c r="A399" s="43" t="s">
        <v>76</v>
      </c>
      <c r="B399" s="43"/>
      <c r="C399" s="43"/>
      <c r="D399" s="44">
        <f>C$18</f>
      </c>
      <c r="E399" s="45">
        <f>E395*C$18</f>
      </c>
    </row>
    <row r="400" ht="20" customHeight="1" spans="1:5" x14ac:dyDescent="0.25">
      <c r="A400" s="46" t="s">
        <v>77</v>
      </c>
      <c r="B400" s="46"/>
      <c r="C400" s="46"/>
      <c r="D400" s="46"/>
      <c r="E400" s="47">
        <f>E396+E397+E398+E399</f>
      </c>
    </row>
    <row r="401" ht="3" customHeight="1" spans="1:6" x14ac:dyDescent="0.25">
      <c r="A401" s="33"/>
      <c r="B401" s="33"/>
      <c r="C401" s="33"/>
      <c r="D401" s="33"/>
      <c r="E401" s="33"/>
      <c r="F401" s="33"/>
    </row>
    <row r="402" ht="22" customHeight="1" spans="1:5" x14ac:dyDescent="0.25">
      <c r="A402" s="48" t="s">
        <v>78</v>
      </c>
      <c r="B402" s="48"/>
      <c r="C402" s="48"/>
      <c r="D402" s="44">
        <f>F369</f>
      </c>
      <c r="E402" s="45">
        <f>E389*F369</f>
      </c>
    </row>
    <row r="403" ht="3" customHeight="1" spans="1:6" x14ac:dyDescent="0.25">
      <c r="A403" s="33"/>
      <c r="B403" s="33"/>
      <c r="C403" s="33"/>
      <c r="D403" s="33"/>
      <c r="E403" s="33"/>
      <c r="F403" s="33"/>
    </row>
    <row r="404" ht="30" customHeight="1" spans="1:6" x14ac:dyDescent="0.25">
      <c r="A404" s="49" t="s">
        <v>79</v>
      </c>
      <c r="B404" s="49"/>
      <c r="C404" s="49"/>
      <c r="D404" s="49"/>
      <c r="E404" s="50">
        <f>E389+E390-E400-E402</f>
      </c>
      <c r="F404" s="51" t="s">
        <v>80</v>
      </c>
    </row>
    <row r="405" ht="10" customHeight="1" spans="1:6" x14ac:dyDescent="0.25">
      <c r="A405" s="3"/>
      <c r="B405" s="3"/>
      <c r="C405" s="3"/>
      <c r="D405" s="3"/>
      <c r="E405" s="3"/>
      <c r="F405" s="3"/>
    </row>
    <row r="406" ht="26" customHeight="1" spans="1:6" x14ac:dyDescent="0.25">
      <c r="A406" s="19" t="s">
        <v>92</v>
      </c>
      <c r="B406" s="19"/>
      <c r="C406" s="19"/>
      <c r="D406" s="19"/>
      <c r="E406" s="20" t="s">
        <v>85</v>
      </c>
      <c r="F406" s="16">
        <f>$C$20</f>
      </c>
    </row>
    <row r="407" ht="16" customHeight="1" spans="1:6" x14ac:dyDescent="0.25">
      <c r="A407" s="21" t="s">
        <v>3</v>
      </c>
      <c r="B407" s="22" t="s">
        <v>48</v>
      </c>
      <c r="C407" s="23" t="s">
        <v>49</v>
      </c>
      <c r="D407" s="23" t="s">
        <v>50</v>
      </c>
      <c r="E407" s="23" t="s">
        <v>51</v>
      </c>
      <c r="F407" s="23" t="s">
        <v>52</v>
      </c>
    </row>
    <row r="408" ht="18" customHeight="1" spans="2:6" x14ac:dyDescent="0.25">
      <c r="B408" s="9" t="s">
        <v>53</v>
      </c>
      <c r="E408" s="24">
        <f>C$6</f>
      </c>
      <c r="F408" s="25" t="s">
        <v>54</v>
      </c>
    </row>
    <row r="409" ht="18" customHeight="1" spans="2:6" x14ac:dyDescent="0.25">
      <c r="B409" s="12" t="s">
        <v>55</v>
      </c>
      <c r="C409" s="7">
        <f>C$11</f>
      </c>
      <c r="D409" s="26" t="s">
        <v>56</v>
      </c>
      <c r="E409" s="24">
        <f>C409</f>
      </c>
      <c r="F409" s="25" t="s">
        <v>54</v>
      </c>
    </row>
    <row r="410" ht="18" customHeight="1" spans="2:6" x14ac:dyDescent="0.25">
      <c r="B410" s="12" t="s">
        <v>32</v>
      </c>
      <c r="C410" s="27">
        <v>0</v>
      </c>
      <c r="D410" s="28">
        <f>C$24</f>
      </c>
      <c r="E410" s="24">
        <f>C410*D410</f>
      </c>
      <c r="F410" s="25" t="s">
        <v>54</v>
      </c>
    </row>
    <row r="411" ht="18" customHeight="1" spans="2:6" x14ac:dyDescent="0.25">
      <c r="B411" s="12" t="s">
        <v>34</v>
      </c>
      <c r="C411" s="27">
        <v>0</v>
      </c>
      <c r="D411" s="28">
        <f>C$25</f>
      </c>
      <c r="E411" s="24">
        <f>C411*D411</f>
      </c>
      <c r="F411" s="25" t="s">
        <v>54</v>
      </c>
    </row>
    <row r="412" ht="18" customHeight="1" spans="2:6" x14ac:dyDescent="0.25">
      <c r="B412" s="12" t="s">
        <v>35</v>
      </c>
      <c r="C412" s="27">
        <v>0</v>
      </c>
      <c r="D412" s="28">
        <f>C$26</f>
      </c>
      <c r="E412" s="24">
        <f>C412*D412</f>
      </c>
      <c r="F412" s="25" t="s">
        <v>54</v>
      </c>
    </row>
    <row r="413" ht="18" customHeight="1" spans="2:6" x14ac:dyDescent="0.25">
      <c r="B413" s="12" t="s">
        <v>36</v>
      </c>
      <c r="C413" s="27">
        <v>0</v>
      </c>
      <c r="D413" s="28">
        <f>C$27</f>
      </c>
      <c r="E413" s="24">
        <f>C413*D413</f>
      </c>
      <c r="F413" s="25" t="s">
        <v>54</v>
      </c>
    </row>
    <row r="414" ht="18" customHeight="1" spans="2:6" x14ac:dyDescent="0.25">
      <c r="B414" s="12" t="s">
        <v>37</v>
      </c>
      <c r="C414" s="27">
        <v>0</v>
      </c>
      <c r="D414" s="28">
        <f>C$28</f>
      </c>
      <c r="E414" s="24">
        <f>C414*D414</f>
      </c>
      <c r="F414" s="25" t="s">
        <v>54</v>
      </c>
    </row>
    <row r="415" ht="18" customHeight="1" spans="2:6" x14ac:dyDescent="0.25">
      <c r="B415" s="12" t="s">
        <v>38</v>
      </c>
      <c r="C415" s="27">
        <v>0</v>
      </c>
      <c r="D415" s="28">
        <f>C$29</f>
      </c>
      <c r="E415" s="24">
        <f>C415*D415</f>
      </c>
      <c r="F415" s="25" t="s">
        <v>54</v>
      </c>
    </row>
    <row r="416" ht="18" customHeight="1" spans="2:6" x14ac:dyDescent="0.25">
      <c r="B416" s="12" t="s">
        <v>57</v>
      </c>
      <c r="C416" s="27">
        <v>0</v>
      </c>
      <c r="D416" s="28">
        <f>C$30</f>
      </c>
      <c r="E416" s="24">
        <f>C416*D416</f>
      </c>
      <c r="F416" s="25" t="s">
        <v>54</v>
      </c>
    </row>
    <row r="417" ht="18" customHeight="1" spans="2:6" x14ac:dyDescent="0.25">
      <c r="B417" s="12" t="s">
        <v>58</v>
      </c>
      <c r="C417" s="27">
        <v>0</v>
      </c>
      <c r="D417" s="28">
        <f>C$33</f>
      </c>
      <c r="E417" s="24">
        <f>C417*D417</f>
      </c>
      <c r="F417" s="25" t="s">
        <v>54</v>
      </c>
    </row>
    <row r="418" ht="16" customHeight="1" spans="1:6" x14ac:dyDescent="0.25">
      <c r="A418" s="29" t="s">
        <v>59</v>
      </c>
      <c r="B418" s="29"/>
      <c r="C418" s="29"/>
      <c r="D418" s="29"/>
      <c r="E418" s="29"/>
      <c r="F418" s="29"/>
    </row>
    <row r="419" ht="18" customHeight="1" spans="2:6" x14ac:dyDescent="0.25">
      <c r="B419" s="12" t="s">
        <v>40</v>
      </c>
      <c r="C419" s="27">
        <v>0</v>
      </c>
      <c r="D419" s="28">
        <f>C$31</f>
      </c>
      <c r="E419" s="24">
        <f>C419*D419</f>
      </c>
      <c r="F419" s="25" t="s">
        <v>60</v>
      </c>
    </row>
    <row r="420" ht="18" customHeight="1" spans="2:6" x14ac:dyDescent="0.25">
      <c r="B420" s="12" t="s">
        <v>42</v>
      </c>
      <c r="C420" s="27">
        <v>0</v>
      </c>
      <c r="D420" s="28">
        <f>C$32</f>
      </c>
      <c r="E420" s="24">
        <f>C420*D420</f>
      </c>
      <c r="F420" s="25" t="s">
        <v>60</v>
      </c>
    </row>
    <row r="421" ht="16" customHeight="1" spans="1:6" x14ac:dyDescent="0.25">
      <c r="A421" s="30" t="s">
        <v>61</v>
      </c>
      <c r="B421" s="30"/>
      <c r="C421" s="30"/>
      <c r="D421" s="30"/>
      <c r="E421" s="30"/>
      <c r="F421" s="30"/>
    </row>
    <row r="422" ht="18" customHeight="1" spans="2:6" x14ac:dyDescent="0.25">
      <c r="B422" s="12" t="s">
        <v>62</v>
      </c>
      <c r="C422" s="7">
        <v>0</v>
      </c>
      <c r="D422" s="26" t="s">
        <v>56</v>
      </c>
      <c r="E422" s="31">
        <f>C422</f>
      </c>
      <c r="F422" s="32" t="s">
        <v>63</v>
      </c>
    </row>
    <row r="423" ht="18" customHeight="1" spans="2:6" x14ac:dyDescent="0.25">
      <c r="B423" s="12" t="s">
        <v>64</v>
      </c>
      <c r="C423" s="7">
        <v>0</v>
      </c>
      <c r="D423" s="26" t="s">
        <v>56</v>
      </c>
      <c r="E423" s="31">
        <f>C423</f>
      </c>
      <c r="F423" s="32" t="s">
        <v>63</v>
      </c>
    </row>
    <row r="424" ht="18" customHeight="1" spans="2:6" x14ac:dyDescent="0.25">
      <c r="B424" s="12" t="s">
        <v>65</v>
      </c>
      <c r="C424" s="27">
        <v>0</v>
      </c>
      <c r="D424" s="28">
        <f>C$34</f>
      </c>
      <c r="E424" s="31">
        <f>C424*D424</f>
      </c>
      <c r="F424" s="32" t="s">
        <v>63</v>
      </c>
    </row>
    <row r="425" ht="3" customHeight="1" spans="1:6" x14ac:dyDescent="0.25">
      <c r="A425" s="33"/>
      <c r="B425" s="33"/>
      <c r="C425" s="33"/>
      <c r="D425" s="33"/>
      <c r="E425" s="33"/>
      <c r="F425" s="33"/>
    </row>
    <row r="426" ht="20" customHeight="1" spans="1:5" x14ac:dyDescent="0.25">
      <c r="A426" s="34" t="s">
        <v>66</v>
      </c>
      <c r="B426" s="34"/>
      <c r="C426" s="34"/>
      <c r="D426" s="34"/>
      <c r="E426" s="35">
        <f>E408+E409+E410+E411+E412+E413+E414+E415+E416+E417+E419+E420</f>
      </c>
    </row>
    <row r="427" ht="20" customHeight="1" spans="1:5" x14ac:dyDescent="0.25">
      <c r="A427" s="36" t="s">
        <v>67</v>
      </c>
      <c r="B427" s="36"/>
      <c r="C427" s="36"/>
      <c r="D427" s="36"/>
      <c r="E427" s="31">
        <f>E422+E423+E424</f>
      </c>
    </row>
    <row r="428" ht="20" customHeight="1" spans="1:5" x14ac:dyDescent="0.25">
      <c r="A428" s="37" t="s">
        <v>68</v>
      </c>
      <c r="B428" s="37"/>
      <c r="C428" s="37"/>
      <c r="D428" s="37"/>
      <c r="E428" s="38">
        <f>E419+E420</f>
      </c>
    </row>
    <row r="429" ht="3" customHeight="1" spans="1:6" x14ac:dyDescent="0.25">
      <c r="A429" s="33"/>
      <c r="B429" s="33"/>
      <c r="C429" s="33"/>
      <c r="D429" s="33"/>
      <c r="E429" s="33"/>
      <c r="F429" s="33"/>
    </row>
    <row r="430" ht="16" customHeight="1" spans="1:6" x14ac:dyDescent="0.25">
      <c r="A430" s="39" t="s">
        <v>69</v>
      </c>
      <c r="B430" s="39"/>
      <c r="C430" s="39"/>
      <c r="D430" s="39"/>
      <c r="E430" s="39"/>
      <c r="F430" s="39"/>
    </row>
    <row r="431" ht="20" customHeight="1" spans="1:6" x14ac:dyDescent="0.25">
      <c r="A431" s="40" t="s">
        <v>70</v>
      </c>
      <c r="B431" s="40"/>
      <c r="C431" s="40"/>
      <c r="D431" s="40"/>
      <c r="E431" s="41">
        <f>E408+E409+E410+E411+E412+E413+E414+E415+E416+E417+C$10</f>
      </c>
      <c r="F431" s="42" t="s">
        <v>33</v>
      </c>
    </row>
    <row r="432" ht="20" customHeight="1" spans="1:6" x14ac:dyDescent="0.25">
      <c r="A432" s="40" t="s">
        <v>71</v>
      </c>
      <c r="B432" s="40"/>
      <c r="C432" s="40"/>
      <c r="D432" s="40"/>
      <c r="E432" s="41">
        <f>E431+E428</f>
      </c>
      <c r="F432" s="42" t="s">
        <v>72</v>
      </c>
    </row>
    <row r="433" ht="20" customHeight="1" spans="1:5" x14ac:dyDescent="0.25">
      <c r="A433" s="43" t="s">
        <v>73</v>
      </c>
      <c r="B433" s="43"/>
      <c r="C433" s="43"/>
      <c r="D433" s="44">
        <f>C$15</f>
      </c>
      <c r="E433" s="45">
        <f>E431*C$15</f>
      </c>
    </row>
    <row r="434" ht="20" customHeight="1" spans="1:5" x14ac:dyDescent="0.25">
      <c r="A434" s="43" t="s">
        <v>74</v>
      </c>
      <c r="B434" s="43"/>
      <c r="C434" s="43"/>
      <c r="D434" s="44">
        <f>C$16</f>
      </c>
      <c r="E434" s="45">
        <f>E432*C$16</f>
      </c>
    </row>
    <row r="435" ht="20" customHeight="1" spans="1:5" x14ac:dyDescent="0.25">
      <c r="A435" s="43" t="s">
        <v>75</v>
      </c>
      <c r="B435" s="43"/>
      <c r="C435" s="43"/>
      <c r="D435" s="44">
        <f>C$17</f>
      </c>
      <c r="E435" s="45">
        <f>E428*C$17</f>
      </c>
    </row>
    <row r="436" ht="20" customHeight="1" spans="1:5" x14ac:dyDescent="0.25">
      <c r="A436" s="43" t="s">
        <v>76</v>
      </c>
      <c r="B436" s="43"/>
      <c r="C436" s="43"/>
      <c r="D436" s="44">
        <f>C$18</f>
      </c>
      <c r="E436" s="45">
        <f>E432*C$18</f>
      </c>
    </row>
    <row r="437" ht="20" customHeight="1" spans="1:5" x14ac:dyDescent="0.25">
      <c r="A437" s="46" t="s">
        <v>77</v>
      </c>
      <c r="B437" s="46"/>
      <c r="C437" s="46"/>
      <c r="D437" s="46"/>
      <c r="E437" s="47">
        <f>E433+E434+E435+E436</f>
      </c>
    </row>
    <row r="438" ht="3" customHeight="1" spans="1:6" x14ac:dyDescent="0.25">
      <c r="A438" s="33"/>
      <c r="B438" s="33"/>
      <c r="C438" s="33"/>
      <c r="D438" s="33"/>
      <c r="E438" s="33"/>
      <c r="F438" s="33"/>
    </row>
    <row r="439" ht="22" customHeight="1" spans="1:5" x14ac:dyDescent="0.25">
      <c r="A439" s="48" t="s">
        <v>78</v>
      </c>
      <c r="B439" s="48"/>
      <c r="C439" s="48"/>
      <c r="D439" s="44">
        <f>F406</f>
      </c>
      <c r="E439" s="45">
        <f>E426*F406</f>
      </c>
    </row>
    <row r="440" ht="3" customHeight="1" spans="1:6" x14ac:dyDescent="0.25">
      <c r="A440" s="33"/>
      <c r="B440" s="33"/>
      <c r="C440" s="33"/>
      <c r="D440" s="33"/>
      <c r="E440" s="33"/>
      <c r="F440" s="33"/>
    </row>
    <row r="441" ht="30" customHeight="1" spans="1:6" x14ac:dyDescent="0.25">
      <c r="A441" s="49" t="s">
        <v>79</v>
      </c>
      <c r="B441" s="49"/>
      <c r="C441" s="49"/>
      <c r="D441" s="49"/>
      <c r="E441" s="50">
        <f>E426+E427-E437-E439</f>
      </c>
      <c r="F441" s="51" t="s">
        <v>80</v>
      </c>
    </row>
    <row r="442" ht="10" customHeight="1" spans="1:6" x14ac:dyDescent="0.25">
      <c r="A442" s="3"/>
      <c r="B442" s="3"/>
      <c r="C442" s="3"/>
      <c r="D442" s="3"/>
      <c r="E442" s="3"/>
      <c r="F442" s="3"/>
    </row>
    <row r="443" ht="26" customHeight="1" spans="1:6" x14ac:dyDescent="0.25">
      <c r="A443" s="19" t="s">
        <v>93</v>
      </c>
      <c r="B443" s="19"/>
      <c r="C443" s="19"/>
      <c r="D443" s="19"/>
      <c r="E443" s="20" t="s">
        <v>47</v>
      </c>
      <c r="F443" s="16">
        <f>$C$20</f>
      </c>
    </row>
    <row r="444" ht="16" customHeight="1" spans="1:6" x14ac:dyDescent="0.25">
      <c r="A444" s="21" t="s">
        <v>3</v>
      </c>
      <c r="B444" s="22" t="s">
        <v>48</v>
      </c>
      <c r="C444" s="23" t="s">
        <v>49</v>
      </c>
      <c r="D444" s="23" t="s">
        <v>50</v>
      </c>
      <c r="E444" s="23" t="s">
        <v>51</v>
      </c>
      <c r="F444" s="23" t="s">
        <v>52</v>
      </c>
    </row>
    <row r="445" ht="18" customHeight="1" spans="2:6" x14ac:dyDescent="0.25">
      <c r="B445" s="9" t="s">
        <v>53</v>
      </c>
      <c r="E445" s="24">
        <f>C$6</f>
      </c>
      <c r="F445" s="25" t="s">
        <v>54</v>
      </c>
    </row>
    <row r="446" ht="18" customHeight="1" spans="2:6" x14ac:dyDescent="0.25">
      <c r="B446" s="12" t="s">
        <v>55</v>
      </c>
      <c r="C446" s="7">
        <f>C$11</f>
      </c>
      <c r="D446" s="26" t="s">
        <v>56</v>
      </c>
      <c r="E446" s="24">
        <f>C446</f>
      </c>
      <c r="F446" s="25" t="s">
        <v>54</v>
      </c>
    </row>
    <row r="447" ht="18" customHeight="1" spans="2:6" x14ac:dyDescent="0.25">
      <c r="B447" s="12" t="s">
        <v>32</v>
      </c>
      <c r="C447" s="27">
        <v>0</v>
      </c>
      <c r="D447" s="28">
        <f>C$24</f>
      </c>
      <c r="E447" s="24">
        <f>C447*D447</f>
      </c>
      <c r="F447" s="25" t="s">
        <v>54</v>
      </c>
    </row>
    <row r="448" ht="18" customHeight="1" spans="2:6" x14ac:dyDescent="0.25">
      <c r="B448" s="12" t="s">
        <v>34</v>
      </c>
      <c r="C448" s="27">
        <v>0</v>
      </c>
      <c r="D448" s="28">
        <f>C$25</f>
      </c>
      <c r="E448" s="24">
        <f>C448*D448</f>
      </c>
      <c r="F448" s="25" t="s">
        <v>54</v>
      </c>
    </row>
    <row r="449" ht="18" customHeight="1" spans="2:6" x14ac:dyDescent="0.25">
      <c r="B449" s="12" t="s">
        <v>35</v>
      </c>
      <c r="C449" s="27">
        <v>0</v>
      </c>
      <c r="D449" s="28">
        <f>C$26</f>
      </c>
      <c r="E449" s="24">
        <f>C449*D449</f>
      </c>
      <c r="F449" s="25" t="s">
        <v>54</v>
      </c>
    </row>
    <row r="450" ht="18" customHeight="1" spans="2:6" x14ac:dyDescent="0.25">
      <c r="B450" s="12" t="s">
        <v>36</v>
      </c>
      <c r="C450" s="27">
        <v>0</v>
      </c>
      <c r="D450" s="28">
        <f>C$27</f>
      </c>
      <c r="E450" s="24">
        <f>C450*D450</f>
      </c>
      <c r="F450" s="25" t="s">
        <v>54</v>
      </c>
    </row>
    <row r="451" ht="18" customHeight="1" spans="2:6" x14ac:dyDescent="0.25">
      <c r="B451" s="12" t="s">
        <v>37</v>
      </c>
      <c r="C451" s="27">
        <v>0</v>
      </c>
      <c r="D451" s="28">
        <f>C$28</f>
      </c>
      <c r="E451" s="24">
        <f>C451*D451</f>
      </c>
      <c r="F451" s="25" t="s">
        <v>54</v>
      </c>
    </row>
    <row r="452" ht="18" customHeight="1" spans="2:6" x14ac:dyDescent="0.25">
      <c r="B452" s="12" t="s">
        <v>38</v>
      </c>
      <c r="C452" s="27">
        <v>0</v>
      </c>
      <c r="D452" s="28">
        <f>C$29</f>
      </c>
      <c r="E452" s="24">
        <f>C452*D452</f>
      </c>
      <c r="F452" s="25" t="s">
        <v>54</v>
      </c>
    </row>
    <row r="453" ht="18" customHeight="1" spans="2:6" x14ac:dyDescent="0.25">
      <c r="B453" s="12" t="s">
        <v>57</v>
      </c>
      <c r="C453" s="27">
        <v>0</v>
      </c>
      <c r="D453" s="28">
        <f>C$30</f>
      </c>
      <c r="E453" s="24">
        <f>C453*D453</f>
      </c>
      <c r="F453" s="25" t="s">
        <v>54</v>
      </c>
    </row>
    <row r="454" ht="18" customHeight="1" spans="2:6" x14ac:dyDescent="0.25">
      <c r="B454" s="12" t="s">
        <v>58</v>
      </c>
      <c r="C454" s="27">
        <v>0</v>
      </c>
      <c r="D454" s="28">
        <f>C$33</f>
      </c>
      <c r="E454" s="24">
        <f>C454*D454</f>
      </c>
      <c r="F454" s="25" t="s">
        <v>54</v>
      </c>
    </row>
    <row r="455" ht="16" customHeight="1" spans="1:6" x14ac:dyDescent="0.25">
      <c r="A455" s="29" t="s">
        <v>59</v>
      </c>
      <c r="B455" s="29"/>
      <c r="C455" s="29"/>
      <c r="D455" s="29"/>
      <c r="E455" s="29"/>
      <c r="F455" s="29"/>
    </row>
    <row r="456" ht="18" customHeight="1" spans="2:6" x14ac:dyDescent="0.25">
      <c r="B456" s="12" t="s">
        <v>40</v>
      </c>
      <c r="C456" s="27">
        <v>0</v>
      </c>
      <c r="D456" s="28">
        <f>C$31</f>
      </c>
      <c r="E456" s="24">
        <f>C456*D456</f>
      </c>
      <c r="F456" s="25" t="s">
        <v>60</v>
      </c>
    </row>
    <row r="457" ht="18" customHeight="1" spans="2:6" x14ac:dyDescent="0.25">
      <c r="B457" s="12" t="s">
        <v>42</v>
      </c>
      <c r="C457" s="27">
        <v>0</v>
      </c>
      <c r="D457" s="28">
        <f>C$32</f>
      </c>
      <c r="E457" s="24">
        <f>C457*D457</f>
      </c>
      <c r="F457" s="25" t="s">
        <v>60</v>
      </c>
    </row>
    <row r="458" ht="16" customHeight="1" spans="1:6" x14ac:dyDescent="0.25">
      <c r="A458" s="30" t="s">
        <v>61</v>
      </c>
      <c r="B458" s="30"/>
      <c r="C458" s="30"/>
      <c r="D458" s="30"/>
      <c r="E458" s="30"/>
      <c r="F458" s="30"/>
    </row>
    <row r="459" ht="18" customHeight="1" spans="2:6" x14ac:dyDescent="0.25">
      <c r="B459" s="12" t="s">
        <v>62</v>
      </c>
      <c r="C459" s="7">
        <v>0</v>
      </c>
      <c r="D459" s="26" t="s">
        <v>56</v>
      </c>
      <c r="E459" s="31">
        <f>C459</f>
      </c>
      <c r="F459" s="32" t="s">
        <v>63</v>
      </c>
    </row>
    <row r="460" ht="18" customHeight="1" spans="2:6" x14ac:dyDescent="0.25">
      <c r="B460" s="12" t="s">
        <v>64</v>
      </c>
      <c r="C460" s="7">
        <v>0</v>
      </c>
      <c r="D460" s="26" t="s">
        <v>56</v>
      </c>
      <c r="E460" s="31">
        <f>C460</f>
      </c>
      <c r="F460" s="32" t="s">
        <v>63</v>
      </c>
    </row>
    <row r="461" ht="18" customHeight="1" spans="2:6" x14ac:dyDescent="0.25">
      <c r="B461" s="12" t="s">
        <v>65</v>
      </c>
      <c r="C461" s="27">
        <v>0</v>
      </c>
      <c r="D461" s="28">
        <f>C$34</f>
      </c>
      <c r="E461" s="31">
        <f>C461*D461</f>
      </c>
      <c r="F461" s="32" t="s">
        <v>63</v>
      </c>
    </row>
    <row r="462" ht="3" customHeight="1" spans="1:6" x14ac:dyDescent="0.25">
      <c r="A462" s="33"/>
      <c r="B462" s="33"/>
      <c r="C462" s="33"/>
      <c r="D462" s="33"/>
      <c r="E462" s="33"/>
      <c r="F462" s="33"/>
    </row>
    <row r="463" ht="20" customHeight="1" spans="1:5" x14ac:dyDescent="0.25">
      <c r="A463" s="34" t="s">
        <v>66</v>
      </c>
      <c r="B463" s="34"/>
      <c r="C463" s="34"/>
      <c r="D463" s="34"/>
      <c r="E463" s="35">
        <f>E445+E446+E447+E448+E449+E450+E451+E452+E453+E454+E456+E457</f>
      </c>
    </row>
    <row r="464" ht="20" customHeight="1" spans="1:5" x14ac:dyDescent="0.25">
      <c r="A464" s="36" t="s">
        <v>67</v>
      </c>
      <c r="B464" s="36"/>
      <c r="C464" s="36"/>
      <c r="D464" s="36"/>
      <c r="E464" s="31">
        <f>E459+E460+E461</f>
      </c>
    </row>
    <row r="465" ht="20" customHeight="1" spans="1:5" x14ac:dyDescent="0.25">
      <c r="A465" s="37" t="s">
        <v>68</v>
      </c>
      <c r="B465" s="37"/>
      <c r="C465" s="37"/>
      <c r="D465" s="37"/>
      <c r="E465" s="38">
        <f>E456+E457</f>
      </c>
    </row>
    <row r="466" ht="3" customHeight="1" spans="1:6" x14ac:dyDescent="0.25">
      <c r="A466" s="33"/>
      <c r="B466" s="33"/>
      <c r="C466" s="33"/>
      <c r="D466" s="33"/>
      <c r="E466" s="33"/>
      <c r="F466" s="33"/>
    </row>
    <row r="467" ht="16" customHeight="1" spans="1:6" x14ac:dyDescent="0.25">
      <c r="A467" s="39" t="s">
        <v>69</v>
      </c>
      <c r="B467" s="39"/>
      <c r="C467" s="39"/>
      <c r="D467" s="39"/>
      <c r="E467" s="39"/>
      <c r="F467" s="39"/>
    </row>
    <row r="468" ht="20" customHeight="1" spans="1:6" x14ac:dyDescent="0.25">
      <c r="A468" s="40" t="s">
        <v>70</v>
      </c>
      <c r="B468" s="40"/>
      <c r="C468" s="40"/>
      <c r="D468" s="40"/>
      <c r="E468" s="41">
        <f>E445+E446+E447+E448+E449+E450+E451+E452+E453+E454+C$10</f>
      </c>
      <c r="F468" s="42" t="s">
        <v>33</v>
      </c>
    </row>
    <row r="469" ht="20" customHeight="1" spans="1:6" x14ac:dyDescent="0.25">
      <c r="A469" s="40" t="s">
        <v>71</v>
      </c>
      <c r="B469" s="40"/>
      <c r="C469" s="40"/>
      <c r="D469" s="40"/>
      <c r="E469" s="41">
        <f>E468+E465</f>
      </c>
      <c r="F469" s="42" t="s">
        <v>72</v>
      </c>
    </row>
    <row r="470" ht="20" customHeight="1" spans="1:5" x14ac:dyDescent="0.25">
      <c r="A470" s="43" t="s">
        <v>73</v>
      </c>
      <c r="B470" s="43"/>
      <c r="C470" s="43"/>
      <c r="D470" s="44">
        <f>C$15</f>
      </c>
      <c r="E470" s="45">
        <f>E468*C$15</f>
      </c>
    </row>
    <row r="471" ht="20" customHeight="1" spans="1:5" x14ac:dyDescent="0.25">
      <c r="A471" s="43" t="s">
        <v>74</v>
      </c>
      <c r="B471" s="43"/>
      <c r="C471" s="43"/>
      <c r="D471" s="44">
        <f>C$16</f>
      </c>
      <c r="E471" s="45">
        <f>E469*C$16</f>
      </c>
    </row>
    <row r="472" ht="20" customHeight="1" spans="1:5" x14ac:dyDescent="0.25">
      <c r="A472" s="43" t="s">
        <v>75</v>
      </c>
      <c r="B472" s="43"/>
      <c r="C472" s="43"/>
      <c r="D472" s="44">
        <f>C$17</f>
      </c>
      <c r="E472" s="45">
        <f>E465*C$17</f>
      </c>
    </row>
    <row r="473" ht="20" customHeight="1" spans="1:5" x14ac:dyDescent="0.25">
      <c r="A473" s="43" t="s">
        <v>76</v>
      </c>
      <c r="B473" s="43"/>
      <c r="C473" s="43"/>
      <c r="D473" s="44">
        <f>C$18</f>
      </c>
      <c r="E473" s="45">
        <f>E469*C$18</f>
      </c>
    </row>
    <row r="474" ht="20" customHeight="1" spans="1:5" x14ac:dyDescent="0.25">
      <c r="A474" s="46" t="s">
        <v>77</v>
      </c>
      <c r="B474" s="46"/>
      <c r="C474" s="46"/>
      <c r="D474" s="46"/>
      <c r="E474" s="47">
        <f>E470+E471+E472+E473</f>
      </c>
    </row>
    <row r="475" ht="3" customHeight="1" spans="1:6" x14ac:dyDescent="0.25">
      <c r="A475" s="33"/>
      <c r="B475" s="33"/>
      <c r="C475" s="33"/>
      <c r="D475" s="33"/>
      <c r="E475" s="33"/>
      <c r="F475" s="33"/>
    </row>
    <row r="476" ht="22" customHeight="1" spans="1:5" x14ac:dyDescent="0.25">
      <c r="A476" s="48" t="s">
        <v>78</v>
      </c>
      <c r="B476" s="48"/>
      <c r="C476" s="48"/>
      <c r="D476" s="44">
        <f>F443</f>
      </c>
      <c r="E476" s="45">
        <f>E463*F443</f>
      </c>
    </row>
    <row r="477" ht="3" customHeight="1" spans="1:6" x14ac:dyDescent="0.25">
      <c r="A477" s="33"/>
      <c r="B477" s="33"/>
      <c r="C477" s="33"/>
      <c r="D477" s="33"/>
      <c r="E477" s="33"/>
      <c r="F477" s="33"/>
    </row>
    <row r="478" ht="30" customHeight="1" spans="1:6" x14ac:dyDescent="0.25">
      <c r="A478" s="49" t="s">
        <v>79</v>
      </c>
      <c r="B478" s="49"/>
      <c r="C478" s="49"/>
      <c r="D478" s="49"/>
      <c r="E478" s="50">
        <f>E463+E464-E474-E476</f>
      </c>
      <c r="F478" s="51" t="s">
        <v>80</v>
      </c>
    </row>
    <row r="479" ht="10" customHeight="1" spans="1:6" x14ac:dyDescent="0.25">
      <c r="A479" s="3"/>
      <c r="B479" s="3"/>
      <c r="C479" s="3"/>
      <c r="D479" s="3"/>
      <c r="E479" s="3"/>
      <c r="F479" s="3"/>
    </row>
    <row r="480" ht="24" customHeight="1" spans="1:6" x14ac:dyDescent="0.25">
      <c r="A480" s="52" t="s">
        <v>94</v>
      </c>
      <c r="B480" s="52"/>
      <c r="C480" s="52"/>
      <c r="D480" s="52"/>
      <c r="E480" s="52"/>
      <c r="F480" s="52"/>
    </row>
    <row r="481" ht="20" customHeight="1" spans="1:7" x14ac:dyDescent="0.25">
      <c r="A481" s="53" t="s">
        <v>3</v>
      </c>
      <c r="B481" s="54" t="s">
        <v>95</v>
      </c>
      <c r="C481" s="55" t="s">
        <v>96</v>
      </c>
      <c r="D481" s="55" t="s">
        <v>97</v>
      </c>
      <c r="E481" s="55" t="s">
        <v>98</v>
      </c>
      <c r="F481" s="55" t="s">
        <v>99</v>
      </c>
      <c r="G481" s="55" t="s">
        <v>100</v>
      </c>
    </row>
    <row r="482" ht="20" customHeight="1" spans="2:7" x14ac:dyDescent="0.25">
      <c r="B482" s="56" t="s">
        <v>101</v>
      </c>
      <c r="C482" s="57">
        <f>E56</f>
      </c>
      <c r="D482" s="58">
        <f>E67</f>
      </c>
      <c r="E482" s="58">
        <f>E69</f>
      </c>
      <c r="F482" s="59">
        <f>E57</f>
      </c>
      <c r="G482" s="60">
        <f>E71</f>
      </c>
    </row>
    <row r="483" ht="20" customHeight="1" spans="2:7" x14ac:dyDescent="0.25">
      <c r="B483" s="61" t="s">
        <v>102</v>
      </c>
      <c r="C483" s="62">
        <f>E93</f>
      </c>
      <c r="D483" s="63">
        <f>E104</f>
      </c>
      <c r="E483" s="63">
        <f>E106</f>
      </c>
      <c r="F483" s="64">
        <f>E94</f>
      </c>
      <c r="G483" s="65">
        <f>E108</f>
      </c>
    </row>
    <row r="484" ht="20" customHeight="1" spans="2:7" x14ac:dyDescent="0.25">
      <c r="B484" s="56" t="s">
        <v>103</v>
      </c>
      <c r="C484" s="57">
        <f>E130</f>
      </c>
      <c r="D484" s="58">
        <f>E141</f>
      </c>
      <c r="E484" s="58">
        <f>E143</f>
      </c>
      <c r="F484" s="59">
        <f>E131</f>
      </c>
      <c r="G484" s="60">
        <f>E145</f>
      </c>
    </row>
    <row r="485" ht="20" customHeight="1" spans="2:7" x14ac:dyDescent="0.25">
      <c r="B485" s="61" t="s">
        <v>104</v>
      </c>
      <c r="C485" s="62">
        <f>E167</f>
      </c>
      <c r="D485" s="63">
        <f>E178</f>
      </c>
      <c r="E485" s="63">
        <f>E180</f>
      </c>
      <c r="F485" s="64">
        <f>E168</f>
      </c>
      <c r="G485" s="65">
        <f>E182</f>
      </c>
    </row>
    <row r="486" ht="20" customHeight="1" spans="2:7" x14ac:dyDescent="0.25">
      <c r="B486" s="56" t="s">
        <v>105</v>
      </c>
      <c r="C486" s="57">
        <f>E204</f>
      </c>
      <c r="D486" s="58">
        <f>E215</f>
      </c>
      <c r="E486" s="58">
        <f>E217</f>
      </c>
      <c r="F486" s="59">
        <f>E205</f>
      </c>
      <c r="G486" s="60">
        <f>E219</f>
      </c>
    </row>
    <row r="487" ht="20" customHeight="1" spans="2:7" x14ac:dyDescent="0.25">
      <c r="B487" s="61" t="s">
        <v>106</v>
      </c>
      <c r="C487" s="62">
        <f>E241</f>
      </c>
      <c r="D487" s="63">
        <f>E252</f>
      </c>
      <c r="E487" s="63">
        <f>E254</f>
      </c>
      <c r="F487" s="64">
        <f>E242</f>
      </c>
      <c r="G487" s="65">
        <f>E256</f>
      </c>
    </row>
    <row r="488" ht="20" customHeight="1" spans="2:7" x14ac:dyDescent="0.25">
      <c r="B488" s="56" t="s">
        <v>107</v>
      </c>
      <c r="C488" s="57">
        <f>E278</f>
      </c>
      <c r="D488" s="58">
        <f>E289</f>
      </c>
      <c r="E488" s="58">
        <f>E291</f>
      </c>
      <c r="F488" s="59">
        <f>E279</f>
      </c>
      <c r="G488" s="60">
        <f>E293</f>
      </c>
    </row>
    <row r="489" ht="20" customHeight="1" spans="2:7" x14ac:dyDescent="0.25">
      <c r="B489" s="61" t="s">
        <v>108</v>
      </c>
      <c r="C489" s="62">
        <f>E315</f>
      </c>
      <c r="D489" s="63">
        <f>E326</f>
      </c>
      <c r="E489" s="63">
        <f>E328</f>
      </c>
      <c r="F489" s="64">
        <f>E316</f>
      </c>
      <c r="G489" s="65">
        <f>E330</f>
      </c>
    </row>
    <row r="490" ht="20" customHeight="1" spans="2:7" x14ac:dyDescent="0.25">
      <c r="B490" s="56" t="s">
        <v>109</v>
      </c>
      <c r="C490" s="57">
        <f>E352</f>
      </c>
      <c r="D490" s="58">
        <f>E363</f>
      </c>
      <c r="E490" s="58">
        <f>E365</f>
      </c>
      <c r="F490" s="59">
        <f>E353</f>
      </c>
      <c r="G490" s="60">
        <f>E367</f>
      </c>
    </row>
    <row r="491" ht="20" customHeight="1" spans="2:7" x14ac:dyDescent="0.25">
      <c r="B491" s="61" t="s">
        <v>110</v>
      </c>
      <c r="C491" s="62">
        <f>E389</f>
      </c>
      <c r="D491" s="63">
        <f>E400</f>
      </c>
      <c r="E491" s="63">
        <f>E402</f>
      </c>
      <c r="F491" s="64">
        <f>E390</f>
      </c>
      <c r="G491" s="65">
        <f>E404</f>
      </c>
    </row>
    <row r="492" ht="20" customHeight="1" spans="2:7" x14ac:dyDescent="0.25">
      <c r="B492" s="56" t="s">
        <v>111</v>
      </c>
      <c r="C492" s="57">
        <f>E426</f>
      </c>
      <c r="D492" s="58">
        <f>E437</f>
      </c>
      <c r="E492" s="58">
        <f>E439</f>
      </c>
      <c r="F492" s="59">
        <f>E427</f>
      </c>
      <c r="G492" s="60">
        <f>E441</f>
      </c>
    </row>
    <row r="493" ht="20" customHeight="1" spans="2:7" x14ac:dyDescent="0.25">
      <c r="B493" s="61" t="s">
        <v>112</v>
      </c>
      <c r="C493" s="62">
        <f>E463</f>
      </c>
      <c r="D493" s="63">
        <f>E474</f>
      </c>
      <c r="E493" s="63">
        <f>E476</f>
      </c>
      <c r="F493" s="64">
        <f>E464</f>
      </c>
      <c r="G493" s="65">
        <f>E478</f>
      </c>
    </row>
    <row r="494" ht="3" customHeight="1" spans="1:6" x14ac:dyDescent="0.25">
      <c r="A494" s="33"/>
      <c r="B494" s="33"/>
      <c r="C494" s="33"/>
      <c r="D494" s="33"/>
      <c r="E494" s="33"/>
      <c r="F494" s="33"/>
    </row>
    <row r="495" ht="26" customHeight="1" spans="1:7" x14ac:dyDescent="0.25">
      <c r="A495" s="4" t="s">
        <v>113</v>
      </c>
      <c r="B495" s="4"/>
      <c r="C495" s="66">
        <f>SUM(C482:C493)</f>
      </c>
      <c r="D495" s="66">
        <f>SUM(D482:D493)</f>
      </c>
      <c r="E495" s="66">
        <f>SUM(E482:E493)</f>
      </c>
      <c r="F495" s="66">
        <f>SUM(F482:F493)</f>
      </c>
      <c r="G495" s="50">
        <f>SUM(G482:G493)</f>
      </c>
    </row>
    <row r="496" ht="8" customHeight="1" spans="1:6" x14ac:dyDescent="0.25">
      <c r="A496" s="3"/>
      <c r="B496" s="3"/>
      <c r="C496" s="3"/>
      <c r="D496" s="3"/>
      <c r="E496" s="3"/>
      <c r="F496" s="3"/>
    </row>
    <row r="497" ht="38" customHeight="1" spans="1:7" x14ac:dyDescent="0.25">
      <c r="A497" s="67" t="s">
        <v>114</v>
      </c>
      <c r="B497" s="67"/>
      <c r="C497" s="67"/>
      <c r="D497" s="67"/>
      <c r="E497" s="67"/>
      <c r="F497" s="68">
        <f>SUM(G482:G493)</f>
      </c>
      <c r="G497" s="68"/>
    </row>
    <row r="498" ht="8" customHeight="1" spans="1:6" x14ac:dyDescent="0.25">
      <c r="A498" s="3"/>
      <c r="B498" s="3"/>
      <c r="C498" s="3"/>
      <c r="D498" s="3"/>
      <c r="E498" s="3"/>
      <c r="F498" s="3"/>
    </row>
    <row r="499" ht="28" customHeight="1" spans="1:7" x14ac:dyDescent="0.25">
      <c r="A499" s="69" t="s">
        <v>115</v>
      </c>
      <c r="B499" s="69"/>
      <c r="C499" s="69"/>
      <c r="D499" s="69"/>
      <c r="E499" s="69"/>
      <c r="F499" s="69"/>
      <c r="G499" s="69"/>
    </row>
  </sheetData>
  <mergeCells count="277">
    <mergeCell ref="A1:F1"/>
    <mergeCell ref="A2:F2"/>
    <mergeCell ref="A3:F3"/>
    <mergeCell ref="A4:F4"/>
    <mergeCell ref="D6:F6"/>
    <mergeCell ref="A8:F8"/>
    <mergeCell ref="D10:F10"/>
    <mergeCell ref="D11:F11"/>
    <mergeCell ref="A12:F12"/>
    <mergeCell ref="D15:F15"/>
    <mergeCell ref="D16:F16"/>
    <mergeCell ref="D17:F17"/>
    <mergeCell ref="D18:F18"/>
    <mergeCell ref="A19:F19"/>
    <mergeCell ref="D20:F20"/>
    <mergeCell ref="A21:F21"/>
    <mergeCell ref="A35:F35"/>
    <mergeCell ref="A36:D36"/>
    <mergeCell ref="A48:F48"/>
    <mergeCell ref="A51:F51"/>
    <mergeCell ref="A55:F55"/>
    <mergeCell ref="A56:D56"/>
    <mergeCell ref="A57:D57"/>
    <mergeCell ref="A58:D58"/>
    <mergeCell ref="A59:F59"/>
    <mergeCell ref="A60:F60"/>
    <mergeCell ref="A61:D61"/>
    <mergeCell ref="A62:D62"/>
    <mergeCell ref="A63:C63"/>
    <mergeCell ref="A64:C64"/>
    <mergeCell ref="A65:C65"/>
    <mergeCell ref="A66:C66"/>
    <mergeCell ref="A67:D67"/>
    <mergeCell ref="A68:F68"/>
    <mergeCell ref="A69:C69"/>
    <mergeCell ref="A70:F70"/>
    <mergeCell ref="A71:D71"/>
    <mergeCell ref="A72:F72"/>
    <mergeCell ref="A73:D73"/>
    <mergeCell ref="A85:F85"/>
    <mergeCell ref="A88:F88"/>
    <mergeCell ref="A92:F92"/>
    <mergeCell ref="A93:D93"/>
    <mergeCell ref="A94:D94"/>
    <mergeCell ref="A95:D95"/>
    <mergeCell ref="A96:F96"/>
    <mergeCell ref="A97:F97"/>
    <mergeCell ref="A98:D98"/>
    <mergeCell ref="A99:D99"/>
    <mergeCell ref="A100:C100"/>
    <mergeCell ref="A101:C101"/>
    <mergeCell ref="A102:C102"/>
    <mergeCell ref="A103:C103"/>
    <mergeCell ref="A104:D104"/>
    <mergeCell ref="A105:F105"/>
    <mergeCell ref="A106:C106"/>
    <mergeCell ref="A107:F107"/>
    <mergeCell ref="A108:D108"/>
    <mergeCell ref="A109:F109"/>
    <mergeCell ref="A110:D110"/>
    <mergeCell ref="A122:F122"/>
    <mergeCell ref="A125:F125"/>
    <mergeCell ref="A129:F129"/>
    <mergeCell ref="A130:D130"/>
    <mergeCell ref="A131:D131"/>
    <mergeCell ref="A132:D132"/>
    <mergeCell ref="A133:F133"/>
    <mergeCell ref="A134:F134"/>
    <mergeCell ref="A135:D135"/>
    <mergeCell ref="A136:D136"/>
    <mergeCell ref="A137:C137"/>
    <mergeCell ref="A138:C138"/>
    <mergeCell ref="A139:C139"/>
    <mergeCell ref="A140:C140"/>
    <mergeCell ref="A141:D141"/>
    <mergeCell ref="A142:F142"/>
    <mergeCell ref="A143:C143"/>
    <mergeCell ref="A144:F144"/>
    <mergeCell ref="A145:D145"/>
    <mergeCell ref="A146:F146"/>
    <mergeCell ref="A147:D147"/>
    <mergeCell ref="A159:F159"/>
    <mergeCell ref="A162:F162"/>
    <mergeCell ref="A166:F166"/>
    <mergeCell ref="A167:D167"/>
    <mergeCell ref="A168:D168"/>
    <mergeCell ref="A169:D169"/>
    <mergeCell ref="A170:F170"/>
    <mergeCell ref="A171:F171"/>
    <mergeCell ref="A172:D172"/>
    <mergeCell ref="A173:D173"/>
    <mergeCell ref="A174:C174"/>
    <mergeCell ref="A175:C175"/>
    <mergeCell ref="A176:C176"/>
    <mergeCell ref="A177:C177"/>
    <mergeCell ref="A178:D178"/>
    <mergeCell ref="A179:F179"/>
    <mergeCell ref="A180:C180"/>
    <mergeCell ref="A181:F181"/>
    <mergeCell ref="A182:D182"/>
    <mergeCell ref="A183:F183"/>
    <mergeCell ref="A184:D184"/>
    <mergeCell ref="A196:F196"/>
    <mergeCell ref="A199:F199"/>
    <mergeCell ref="A203:F203"/>
    <mergeCell ref="A204:D204"/>
    <mergeCell ref="A205:D205"/>
    <mergeCell ref="A206:D206"/>
    <mergeCell ref="A207:F207"/>
    <mergeCell ref="A208:F208"/>
    <mergeCell ref="A209:D209"/>
    <mergeCell ref="A210:D210"/>
    <mergeCell ref="A211:C211"/>
    <mergeCell ref="A212:C212"/>
    <mergeCell ref="A213:C213"/>
    <mergeCell ref="A214:C214"/>
    <mergeCell ref="A215:D215"/>
    <mergeCell ref="A216:F216"/>
    <mergeCell ref="A217:C217"/>
    <mergeCell ref="A218:F218"/>
    <mergeCell ref="A219:D219"/>
    <mergeCell ref="A220:F220"/>
    <mergeCell ref="A221:D221"/>
    <mergeCell ref="A233:F233"/>
    <mergeCell ref="A236:F236"/>
    <mergeCell ref="A240:F240"/>
    <mergeCell ref="A241:D241"/>
    <mergeCell ref="A242:D242"/>
    <mergeCell ref="A243:D243"/>
    <mergeCell ref="A244:F244"/>
    <mergeCell ref="A245:F245"/>
    <mergeCell ref="A246:D246"/>
    <mergeCell ref="A247:D247"/>
    <mergeCell ref="A248:C248"/>
    <mergeCell ref="A249:C249"/>
    <mergeCell ref="A250:C250"/>
    <mergeCell ref="A251:C251"/>
    <mergeCell ref="A252:D252"/>
    <mergeCell ref="A253:F253"/>
    <mergeCell ref="A254:C254"/>
    <mergeCell ref="A255:F255"/>
    <mergeCell ref="A256:D256"/>
    <mergeCell ref="A257:F257"/>
    <mergeCell ref="A258:D258"/>
    <mergeCell ref="A270:F270"/>
    <mergeCell ref="A273:F273"/>
    <mergeCell ref="A277:F277"/>
    <mergeCell ref="A278:D278"/>
    <mergeCell ref="A279:D279"/>
    <mergeCell ref="A280:D280"/>
    <mergeCell ref="A281:F281"/>
    <mergeCell ref="A282:F282"/>
    <mergeCell ref="A283:D283"/>
    <mergeCell ref="A284:D284"/>
    <mergeCell ref="A285:C285"/>
    <mergeCell ref="A286:C286"/>
    <mergeCell ref="A287:C287"/>
    <mergeCell ref="A288:C288"/>
    <mergeCell ref="A289:D289"/>
    <mergeCell ref="A290:F290"/>
    <mergeCell ref="A291:C291"/>
    <mergeCell ref="A292:F292"/>
    <mergeCell ref="A293:D293"/>
    <mergeCell ref="A294:F294"/>
    <mergeCell ref="A295:D295"/>
    <mergeCell ref="A307:F307"/>
    <mergeCell ref="A310:F310"/>
    <mergeCell ref="A314:F314"/>
    <mergeCell ref="A315:D315"/>
    <mergeCell ref="A316:D316"/>
    <mergeCell ref="A317:D317"/>
    <mergeCell ref="A318:F318"/>
    <mergeCell ref="A319:F319"/>
    <mergeCell ref="A320:D320"/>
    <mergeCell ref="A321:D321"/>
    <mergeCell ref="A322:C322"/>
    <mergeCell ref="A323:C323"/>
    <mergeCell ref="A324:C324"/>
    <mergeCell ref="A325:C325"/>
    <mergeCell ref="A326:D326"/>
    <mergeCell ref="A327:F327"/>
    <mergeCell ref="A328:C328"/>
    <mergeCell ref="A329:F329"/>
    <mergeCell ref="A330:D330"/>
    <mergeCell ref="A331:F331"/>
    <mergeCell ref="A332:D332"/>
    <mergeCell ref="A344:F344"/>
    <mergeCell ref="A347:F347"/>
    <mergeCell ref="A351:F351"/>
    <mergeCell ref="A352:D352"/>
    <mergeCell ref="A353:D353"/>
    <mergeCell ref="A354:D354"/>
    <mergeCell ref="A355:F355"/>
    <mergeCell ref="A356:F356"/>
    <mergeCell ref="A357:D357"/>
    <mergeCell ref="A358:D358"/>
    <mergeCell ref="A359:C359"/>
    <mergeCell ref="A360:C360"/>
    <mergeCell ref="A361:C361"/>
    <mergeCell ref="A362:C362"/>
    <mergeCell ref="A363:D363"/>
    <mergeCell ref="A364:F364"/>
    <mergeCell ref="A365:C365"/>
    <mergeCell ref="A366:F366"/>
    <mergeCell ref="A367:D367"/>
    <mergeCell ref="A368:F368"/>
    <mergeCell ref="A369:D369"/>
    <mergeCell ref="A381:F381"/>
    <mergeCell ref="A384:F384"/>
    <mergeCell ref="A388:F388"/>
    <mergeCell ref="A389:D389"/>
    <mergeCell ref="A390:D390"/>
    <mergeCell ref="A391:D391"/>
    <mergeCell ref="A392:F392"/>
    <mergeCell ref="A393:F393"/>
    <mergeCell ref="A394:D394"/>
    <mergeCell ref="A395:D395"/>
    <mergeCell ref="A396:C396"/>
    <mergeCell ref="A397:C397"/>
    <mergeCell ref="A398:C398"/>
    <mergeCell ref="A399:C399"/>
    <mergeCell ref="A400:D400"/>
    <mergeCell ref="A401:F401"/>
    <mergeCell ref="A402:C402"/>
    <mergeCell ref="A403:F403"/>
    <mergeCell ref="A404:D404"/>
    <mergeCell ref="A405:F405"/>
    <mergeCell ref="A406:D406"/>
    <mergeCell ref="A418:F418"/>
    <mergeCell ref="A421:F421"/>
    <mergeCell ref="A425:F425"/>
    <mergeCell ref="A426:D426"/>
    <mergeCell ref="A427:D427"/>
    <mergeCell ref="A428:D428"/>
    <mergeCell ref="A429:F429"/>
    <mergeCell ref="A430:F430"/>
    <mergeCell ref="A431:D431"/>
    <mergeCell ref="A432:D432"/>
    <mergeCell ref="A433:C433"/>
    <mergeCell ref="A434:C434"/>
    <mergeCell ref="A435:C435"/>
    <mergeCell ref="A436:C436"/>
    <mergeCell ref="A437:D437"/>
    <mergeCell ref="A438:F438"/>
    <mergeCell ref="A439:C439"/>
    <mergeCell ref="A440:F440"/>
    <mergeCell ref="A441:D441"/>
    <mergeCell ref="A442:F442"/>
    <mergeCell ref="A443:D443"/>
    <mergeCell ref="A455:F455"/>
    <mergeCell ref="A458:F458"/>
    <mergeCell ref="A462:F462"/>
    <mergeCell ref="A463:D463"/>
    <mergeCell ref="A464:D464"/>
    <mergeCell ref="A465:D465"/>
    <mergeCell ref="A466:F466"/>
    <mergeCell ref="A467:F467"/>
    <mergeCell ref="A468:D468"/>
    <mergeCell ref="A469:D469"/>
    <mergeCell ref="A470:C470"/>
    <mergeCell ref="A471:C471"/>
    <mergeCell ref="A472:C472"/>
    <mergeCell ref="A473:C473"/>
    <mergeCell ref="A474:D474"/>
    <mergeCell ref="A475:F475"/>
    <mergeCell ref="A476:C476"/>
    <mergeCell ref="A477:F477"/>
    <mergeCell ref="A478:D478"/>
    <mergeCell ref="A479:F479"/>
    <mergeCell ref="A480:F480"/>
    <mergeCell ref="A494:F494"/>
    <mergeCell ref="A495:B495"/>
    <mergeCell ref="A496:F496"/>
    <mergeCell ref="A497:E497"/>
    <mergeCell ref="F497:G497"/>
    <mergeCell ref="A498:F498"/>
    <mergeCell ref="A499:G499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Calculadora Nómina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 Memoria — Calculadora v3</dc:creator>
  <dc:title/>
  <dc:subject/>
  <dc:description/>
  <cp:keywords/>
  <cp:category/>
  <cp:lastModifiedBy>Unknown</cp:lastModifiedBy>
  <dcterms:created xsi:type="dcterms:W3CDTF">2026-05-20T09:44:15Z</dcterms:created>
  <dcterms:modified xsi:type="dcterms:W3CDTF">2026-05-20T09:44:15Z</dcterms:modified>
</cp:coreProperties>
</file>