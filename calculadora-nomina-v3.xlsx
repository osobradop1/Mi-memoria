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<sst xmlns="http://schemas.openxmlformats.org/spreadsheetml/2006/main" count="156" uniqueCount="136">
  <si>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</si>
  <si>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</si>
  <si>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</si>
  <si>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</si>
  <si>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</si>
  <si>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</si>
  <si>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</si>
  <si>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</si>
  <si>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</si>
  <si>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aparece en la base CC de tu nómina (Base CC 3.207,47 = sujeto CC + 419,61). La paga extra se cobra por separado en jun/dic, pero este importe suma a la base de cotización cada mes.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</si>
  <si>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</si>
  <si>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</si>
  <si>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</si>
  <si>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</si>
  <si>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</si>
  <si>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</si>
  <si>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</si>
  <si>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</si>
  <si>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</si>
  <si>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</si>
  <si>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</si>
  <si>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</si>
  <si>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</si>
  <si>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</si>
  <si>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</si>
  <si>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</si>
  <si>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</si>
  <si>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</si>
  <si>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</si>
  <si>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</si>
  <si>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</si>
  <si>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</si>
  <si>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</si>
  <si>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</si>
  <si>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</si>
  <si>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</si>
  <si>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</si>
  <si>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</si>
  <si>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</si>
  <si>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</si>
  <si>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</si>
  <si>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</si>
  <si>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(bruto/día)</t>
  </si>
  <si>
    <t>Base CC + Art.7p  ← = C6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</si>
  <si>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</si>
  <si>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</si>
  <si>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</si>
  <si>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</si>
  <si>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</si>
  <si>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</si>
  <si>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</si>
  <si>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</si>
  <si>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</si>
  <si>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</si>
  <si>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</si>
  <si>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</si>
  <si>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</si>
  <si>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</si>
  <si>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</si>
  <si>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</si>
  <si>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</si>
  <si>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</si>
  <si>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</si>
  <si>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</si>
  <si>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</si>
  <si>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</si>
  <si>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Celdas amarillas editables. Variables (horas/días/km): introduce CANTIDADES. Salario, Actividad, Dieta y Paga Extra: introduce €.</t>
  </si>
  <si>
    <t>Salario Convenio</t>
  </si>
  <si>
    <t>SUJETO-CC</t>
  </si>
  <si>
    <t>Plus Actividad €</t>
  </si>
  <si>
    <t>Turnicidad (horas)</t>
  </si>
  <si>
    <t>Nocturnidad (horas)</t>
  </si>
  <si>
    <t>Plus frío / baja temp. (días)</t>
  </si>
  <si>
    <t>H. Disponibilidad (horas)</t>
  </si>
  <si>
    <t>H. Disp. Festiva (horas)</t>
  </si>
  <si>
    <t>H. Desplazamiento (horas)</t>
  </si>
  <si>
    <t>CC + 7p</t>
  </si>
  <si>
    <t>H. Desp. Festivo (horas)</t>
  </si>
  <si>
    <t>Días fuera (días)</t>
  </si>
  <si>
    <t>H. Extra Normal (horas)</t>
  </si>
  <si>
    <t>HHEE + 7p</t>
  </si>
  <si>
    <t>H. Extra Festiva (horas)</t>
  </si>
  <si>
    <t>🟢  EXENTOS — No cotizan SS ni retienen IRPF</t>
  </si>
  <si>
    <t>Dieta € (importe directo)</t>
  </si>
  <si>
    <t>EXENTO</t>
  </si>
  <si>
    <t>Tiquets € (importe directo)</t>
  </si>
  <si>
    <t>KM (kilómetros)</t>
  </si>
  <si>
    <t>⭐  PAGA EXTRA — Normalmente junio y diciembre. Pon el importe bruto en esos meses.</t>
  </si>
  <si>
    <t>Paga Extra € (importe bruto)</t>
  </si>
  <si>
    <t>PAGA EXTRA</t>
  </si>
  <si>
    <t>🔢  TOTALES CALCULADOS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</si>
  <si>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</si>
  <si>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</si>
  <si>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</si>
  <si>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</si>
  <si>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</si>
  <si>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</si>
  <si>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</si>
  <si>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</si>
  <si>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</si>
  <si>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</si>
  <si>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</si>
  <si>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</si>
  <si>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</si>
  <si>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</si>
  <si>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</si>
  <si>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</si>
  <si>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</si>
  <si>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</si>
  <si>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</si>
  <si>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</si>
  <si>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</si>
  <si>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</si>
  <si>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</si>
  <si>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</si>
  <si>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</si>
  <si>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Días fuera España (= fila Días fuera)</t>
  </si>
  <si>
    <t>auto 7p</t>
  </si>
  <si>
    <t>Proporción salario días fuera</t>
  </si>
  <si>
    <t>7p</t>
  </si>
  <si>
    <t>Renta 7p (prop.sal + desp + días fuera €)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</si>
  <si>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</si>
  <si>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</si>
  <si>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</si>
  <si>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</si>
  <si>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</si>
  <si>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</si>
  <si>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</si>
  <si>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</si>
  <si>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Art.7p requiere trabajo físico en el extranjero y país destino con IRPF equivalente; consulta con gestor  |  Paga extra ⭐ = normalmente junio y diciembre; ponla en la fila "Paga Extra €" del mes correspondiente</t>
  </si>
  <si>
    <t>📊  RESUMEN ANUAL — Bruto y Neto total (con variables) vs Solo salario fijo (sin variables)</t>
  </si>
  <si>
    <t>💰  BRUTO ANUAL con variables  (salario + variables + exentos + pagas extra)</t>
  </si>
  <si>
    <t xml:space="preserve">     Bruto anual sin variables  (solo salario convenio × 12)</t>
  </si>
  <si>
    <t xml:space="preserve">     Diferencia por variables</t>
  </si>
  <si>
    <t>💳  NETO ANUAL con variables  (líquido total: salario + variables + pagas extra)</t>
  </si>
  <si>
    <t xml:space="preserve">     Neto anual sin variables  (solo salario fijo neto ×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</si>
</sst>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7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  <font>
      <b/>
      <color rgb="FFFFFF"/>
      <sz val="11"/>
      <name val="Calibri"/>
    </font>
    <font>
      <b/>
      <color rgb="4338CA"/>
      <sz val="14"/>
      <name val="Calibri"/>
    </font>
    <font>
      <color rgb="64748B"/>
      <sz val="11"/>
      <name val="Calibri"/>
    </font>
    <font>
      <color rgb="0F172A"/>
      <sz val="11"/>
      <name val="Calibri"/>
    </font>
    <font>
      <b/>
      <color rgb="065F46"/>
      <sz val="10"/>
      <name val="Calibri"/>
    </font>
    <font>
      <b/>
      <color rgb="065F46"/>
      <sz val="14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4" fontId="5" fillId="4" borderId="1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36" fillId="15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  <xf numFmtId="0" fontId="41" fillId="2" borderId="0" xfId="0" applyFont="1" applyFill="1" applyAlignment="1">
      <alignment horizontal="left" vertical="center" indent="1"/>
    </xf>
    <xf numFmtId="0" fontId="5" fillId="5" borderId="0" xfId="0" applyFont="1" applyFill="1" applyAlignment="1">
      <alignment horizontal="left" vertical="center" indent="2"/>
    </xf>
    <xf numFmtId="164" fontId="42" fillId="5" borderId="2" xfId="0" applyNumberFormat="1" applyFont="1" applyFill="1" applyBorder="1" applyAlignment="1">
      <alignment horizontal="right" vertical="center"/>
    </xf>
    <xf numFmtId="0" fontId="15" fillId="3" borderId="0" xfId="0" applyFont="1" applyFill="1" applyAlignment="1">
      <alignment horizontal="left" vertical="center" indent="2"/>
    </xf>
    <xf numFmtId="164" fontId="43" fillId="3" borderId="2" xfId="0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left" vertical="center" indent="2"/>
    </xf>
    <xf numFmtId="164" fontId="44" fillId="3" borderId="2" xfId="0" applyNumberFormat="1" applyFont="1" applyFill="1" applyBorder="1" applyAlignment="1">
      <alignment horizontal="right" vertical="center"/>
    </xf>
    <xf numFmtId="0" fontId="45" fillId="10" borderId="0" xfId="0" applyFont="1" applyFill="1" applyAlignment="1">
      <alignment horizontal="left" vertical="center" indent="2"/>
    </xf>
    <xf numFmtId="164" fontId="46" fillId="10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419.61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7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0.1811</v>
      </c>
      <c r="E4" s="8">
        <v>0.1815</v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5">
        <f>SUM(D9:O9)*Configuración!$C$22</f>
      </c>
    </row>
    <row r="10" ht="18" customHeight="1" spans="2:16" x14ac:dyDescent="0.25">
      <c r="B10" s="22" t="s">
        <v>71</v>
      </c>
      <c r="C10" s="23" t="s">
        <v>68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5">
        <f>SUM(D10:O10)*Configuración!$C$23</f>
      </c>
    </row>
    <row r="11" ht="18" customHeight="1" spans="2:16" x14ac:dyDescent="0.25">
      <c r="B11" s="22" t="s">
        <v>72</v>
      </c>
      <c r="C11" s="23" t="s">
        <v>68</v>
      </c>
      <c r="D11" s="26">
        <v>0</v>
      </c>
      <c r="E11" s="26">
        <v>16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5">
        <f>SUM(D11:O11)*Configuración!$C$24</f>
      </c>
    </row>
    <row r="12" ht="18" customHeight="1" spans="2:16" x14ac:dyDescent="0.25">
      <c r="B12" s="22" t="s">
        <v>73</v>
      </c>
      <c r="C12" s="23" t="s">
        <v>68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5">
        <f>SUM(D12:O12)*Configuración!$C$25</f>
      </c>
    </row>
    <row r="13" ht="18" customHeight="1" spans="2:16" x14ac:dyDescent="0.25">
      <c r="B13" s="22" t="s">
        <v>74</v>
      </c>
      <c r="C13" s="23" t="s">
        <v>68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5">
        <f>SUM(D13:O13)*Configuración!$C$26</f>
      </c>
    </row>
    <row r="14" ht="18" customHeight="1" spans="2:16" x14ac:dyDescent="0.25">
      <c r="B14" s="22" t="s">
        <v>75</v>
      </c>
      <c r="C14" s="27" t="s">
        <v>76</v>
      </c>
      <c r="D14" s="26">
        <v>0</v>
      </c>
      <c r="E14" s="26">
        <v>20.5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5">
        <f>SUM(D14:O14)*Configuración!$C$27</f>
      </c>
    </row>
    <row r="15" ht="18" customHeight="1" spans="2:16" x14ac:dyDescent="0.25">
      <c r="B15" s="22" t="s">
        <v>77</v>
      </c>
      <c r="C15" s="27" t="s">
        <v>76</v>
      </c>
      <c r="D15" s="26">
        <v>0</v>
      </c>
      <c r="E15" s="26">
        <v>18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5">
        <f>SUM(D15:O15)*Configuración!$C$28</f>
      </c>
    </row>
    <row r="16" ht="18" customHeight="1" spans="2:16" x14ac:dyDescent="0.25">
      <c r="B16" s="22" t="s">
        <v>78</v>
      </c>
      <c r="C16" s="27" t="s">
        <v>76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5">
        <f>SUM(D16:O16)*Configuración!$C$31</f>
      </c>
    </row>
    <row r="17" ht="18" customHeight="1" spans="2:16" x14ac:dyDescent="0.25">
      <c r="B17" s="22" t="s">
        <v>79</v>
      </c>
      <c r="C17" s="28" t="s">
        <v>80</v>
      </c>
      <c r="D17" s="26">
        <v>0</v>
      </c>
      <c r="E17" s="26">
        <v>24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5">
        <f>SUM(D17:O17)*Configuración!$C$29</f>
      </c>
    </row>
    <row r="18" ht="18" customHeight="1" spans="2:16" x14ac:dyDescent="0.25">
      <c r="B18" s="22" t="s">
        <v>81</v>
      </c>
      <c r="C18" s="28" t="s">
        <v>41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5">
        <f>SUM(D18:O18)*Configuración!$C$30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29" t="s">
        <v>82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</row>
    <row r="21" ht="18" customHeight="1" spans="2:16" x14ac:dyDescent="0.25">
      <c r="B21" s="30" t="s">
        <v>83</v>
      </c>
      <c r="C21" s="31" t="s">
        <v>84</v>
      </c>
      <c r="D21" s="6">
        <v>0</v>
      </c>
      <c r="E21" s="6">
        <v>764.16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30" t="s">
        <v>85</v>
      </c>
      <c r="C22" s="31" t="s">
        <v>84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30" t="s">
        <v>86</v>
      </c>
      <c r="C23" s="31" t="s">
        <v>84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26">
        <v>0</v>
      </c>
      <c r="M23" s="26">
        <v>0</v>
      </c>
      <c r="N23" s="26">
        <v>0</v>
      </c>
      <c r="O23" s="26">
        <v>0</v>
      </c>
      <c r="P23" s="25">
        <f>SUM(D23:O23)*Configuración!$C$32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2" t="s">
        <v>87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</row>
    <row r="26" ht="20" customHeight="1" spans="2:16" x14ac:dyDescent="0.25">
      <c r="B26" s="33" t="s">
        <v>88</v>
      </c>
      <c r="C26" s="34" t="s">
        <v>89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5" t="s">
        <v>91</v>
      </c>
      <c r="C29" s="36" t="s">
        <v>92</v>
      </c>
      <c r="D29" s="37">
        <f>D7+D8+D9*Configuración!$C$22+D10*Configuración!$C$23+D11*Configuración!$C$24+D12*Configuración!$C$25+D13*Configuración!$C$26+D14*Configuración!$C$27+D15*Configuración!$C$28+D16*Configuración!$C$31+D17*Configuración!$C$29+D18*Configuración!$C$30</f>
      </c>
      <c r="E29" s="37">
        <f>E7+E8+E9*Configuración!$C$22+E10*Configuración!$C$23+E11*Configuración!$C$24+E12*Configuración!$C$25+E13*Configuración!$C$26+E14*Configuración!$C$27+E15*Configuración!$C$28+E16*Configuración!$C$31+E17*Configuración!$C$29+E18*Configuración!$C$30</f>
      </c>
      <c r="F29" s="37">
        <f>F7+F8+F9*Configuración!$C$22+F10*Configuración!$C$23+F11*Configuración!$C$24+F12*Configuración!$C$25+F13*Configuración!$C$26+F14*Configuración!$C$27+F15*Configuración!$C$28+F16*Configuración!$C$31+F17*Configuración!$C$29+F18*Configuración!$C$30</f>
      </c>
      <c r="G29" s="37">
        <f>G7+G8+G9*Configuración!$C$22+G10*Configuración!$C$23+G11*Configuración!$C$24+G12*Configuración!$C$25+G13*Configuración!$C$26+G14*Configuración!$C$27+G15*Configuración!$C$28+G16*Configuración!$C$31+G17*Configuración!$C$29+G18*Configuración!$C$30</f>
      </c>
      <c r="H29" s="37">
        <f>H7+H8+H9*Configuración!$C$22+H10*Configuración!$C$23+H11*Configuración!$C$24+H12*Configuración!$C$25+H13*Configuración!$C$26+H14*Configuración!$C$27+H15*Configuración!$C$28+H16*Configuración!$C$31+H17*Configuración!$C$29+H18*Configuración!$C$30</f>
      </c>
      <c r="I29" s="37">
        <f>I7+I8+I9*Configuración!$C$22+I10*Configuración!$C$23+I11*Configuración!$C$24+I12*Configuración!$C$25+I13*Configuración!$C$26+I14*Configuración!$C$27+I15*Configuración!$C$28+I16*Configuración!$C$31+I17*Configuración!$C$29+I18*Configuración!$C$30</f>
      </c>
      <c r="J29" s="37">
        <f>J7+J8+J9*Configuración!$C$22+J10*Configuración!$C$23+J11*Configuración!$C$24+J12*Configuración!$C$25+J13*Configuración!$C$26+J14*Configuración!$C$27+J15*Configuración!$C$28+J16*Configuración!$C$31+J17*Configuración!$C$29+J18*Configuración!$C$30</f>
      </c>
      <c r="K29" s="37">
        <f>K7+K8+K9*Configuración!$C$22+K10*Configuración!$C$23+K11*Configuración!$C$24+K12*Configuración!$C$25+K13*Configuración!$C$26+K14*Configuración!$C$27+K15*Configuración!$C$28+K16*Configuración!$C$31+K17*Configuración!$C$29+K18*Configuración!$C$30</f>
      </c>
      <c r="L29" s="37">
        <f>L7+L8+L9*Configuración!$C$22+L10*Configuración!$C$23+L11*Configuración!$C$24+L12*Configuración!$C$25+L13*Configuración!$C$26+L14*Configuración!$C$27+L15*Configuración!$C$28+L16*Configuración!$C$31+L17*Configuración!$C$29+L18*Configuración!$C$30</f>
      </c>
      <c r="M29" s="37">
        <f>M7+M8+M9*Configuración!$C$22+M10*Configuración!$C$23+M11*Configuración!$C$24+M12*Configuración!$C$25+M13*Configuración!$C$26+M14*Configuración!$C$27+M15*Configuración!$C$28+M16*Configuración!$C$31+M17*Configuración!$C$29+M18*Configuración!$C$30</f>
      </c>
      <c r="N29" s="37">
        <f>N7+N8+N9*Configuración!$C$22+N10*Configuración!$C$23+N11*Configuración!$C$24+N12*Configuración!$C$25+N13*Configuración!$C$26+N14*Configuración!$C$27+N15*Configuración!$C$28+N16*Configuración!$C$31+N17*Configuración!$C$29+N18*Configuración!$C$30</f>
      </c>
      <c r="O29" s="37">
        <f>O7+O8+O9*Configuración!$C$22+O10*Configuración!$C$23+O11*Configuración!$C$24+O12*Configuración!$C$25+O13*Configuración!$C$26+O14*Configuración!$C$27+O15*Configuración!$C$28+O16*Configuración!$C$31+O17*Configuración!$C$29+O18*Configuración!$C$30</f>
      </c>
      <c r="P29" s="37">
        <f>SUM(D29:O29)</f>
      </c>
    </row>
    <row r="30" ht="18" customHeight="1" spans="2:16" x14ac:dyDescent="0.25">
      <c r="B30" s="38" t="s">
        <v>93</v>
      </c>
      <c r="C30" s="23" t="s">
        <v>94</v>
      </c>
      <c r="D30" s="39">
        <f>D17*Configuración!$C$29+D18*Configuración!$C$30</f>
      </c>
      <c r="E30" s="39">
        <f>E17*Configuración!$C$29+E18*Configuración!$C$30</f>
      </c>
      <c r="F30" s="39">
        <f>F17*Configuración!$C$29+F18*Configuración!$C$30</f>
      </c>
      <c r="G30" s="39">
        <f>G17*Configuración!$C$29+G18*Configuración!$C$30</f>
      </c>
      <c r="H30" s="39">
        <f>H17*Configuración!$C$29+H18*Configuración!$C$30</f>
      </c>
      <c r="I30" s="39">
        <f>I17*Configuración!$C$29+I18*Configuración!$C$30</f>
      </c>
      <c r="J30" s="39">
        <f>J17*Configuración!$C$29+J18*Configuración!$C$30</f>
      </c>
      <c r="K30" s="39">
        <f>K17*Configuración!$C$29+K18*Configuración!$C$30</f>
      </c>
      <c r="L30" s="39">
        <f>L17*Configuración!$C$29+L18*Configuración!$C$30</f>
      </c>
      <c r="M30" s="39">
        <f>M17*Configuración!$C$29+M18*Configuración!$C$30</f>
      </c>
      <c r="N30" s="39">
        <f>N17*Configuración!$C$29+N18*Configuración!$C$30</f>
      </c>
      <c r="O30" s="39">
        <f>O17*Configuración!$C$29+O18*Configuración!$C$30</f>
      </c>
      <c r="P30" s="25">
        <f>SUM(D30:O30)</f>
      </c>
    </row>
    <row r="31" ht="18" customHeight="1" spans="2:16" x14ac:dyDescent="0.25">
      <c r="B31" s="30" t="s">
        <v>95</v>
      </c>
      <c r="C31" s="31" t="s">
        <v>84</v>
      </c>
      <c r="D31" s="40">
        <f>D21+D22+D23*Configuración!$C$32</f>
      </c>
      <c r="E31" s="40">
        <f>E21+E22+E23*Configuración!$C$32</f>
      </c>
      <c r="F31" s="40">
        <f>F21+F22+F23*Configuración!$C$32</f>
      </c>
      <c r="G31" s="40">
        <f>G21+G22+G23*Configuración!$C$32</f>
      </c>
      <c r="H31" s="40">
        <f>H21+H22+H23*Configuración!$C$32</f>
      </c>
      <c r="I31" s="40">
        <f>I21+I22+I23*Configuración!$C$32</f>
      </c>
      <c r="J31" s="40">
        <f>J21+J22+J23*Configuración!$C$32</f>
      </c>
      <c r="K31" s="40">
        <f>K21+K22+K23*Configuración!$C$32</f>
      </c>
      <c r="L31" s="40">
        <f>L21+L22+L23*Configuración!$C$32</f>
      </c>
      <c r="M31" s="40">
        <f>M21+M22+M23*Configuración!$C$32</f>
      </c>
      <c r="N31" s="40">
        <f>N21+N22+N23*Configuración!$C$32</f>
      </c>
      <c r="O31" s="40">
        <f>O21+O22+O23*Configuración!$C$32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1" t="s">
        <v>96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</row>
    <row r="34" ht="18" customHeight="1" spans="2:16" x14ac:dyDescent="0.25">
      <c r="B34" s="42" t="s">
        <v>97</v>
      </c>
      <c r="D34" s="43">
        <f>D29-D30+Configuración!$C$7</f>
      </c>
      <c r="E34" s="43">
        <f>E29-E30+Configuración!$C$7</f>
      </c>
      <c r="F34" s="43">
        <f>F29-F30+Configuración!$C$7</f>
      </c>
      <c r="G34" s="43">
        <f>G29-G30+Configuración!$C$7</f>
      </c>
      <c r="H34" s="43">
        <f>H29-H30+Configuración!$C$7</f>
      </c>
      <c r="I34" s="43">
        <f>I29-I30+Configuración!$C$7</f>
      </c>
      <c r="J34" s="43">
        <f>J29-J30+Configuración!$C$7</f>
      </c>
      <c r="K34" s="43">
        <f>K29-K30+Configuración!$C$7</f>
      </c>
      <c r="L34" s="43">
        <f>L29-L30+Configuración!$C$7</f>
      </c>
      <c r="M34" s="43">
        <f>M29-M30+Configuración!$C$7</f>
      </c>
      <c r="N34" s="43">
        <f>N29-N30+Configuración!$C$7</f>
      </c>
      <c r="O34" s="43">
        <f>O29-O30+Configuración!$C$7</f>
      </c>
      <c r="P34" s="25">
        <f>SUM(D34:O34)</f>
      </c>
    </row>
    <row r="35" ht="18" customHeight="1" spans="2:16" x14ac:dyDescent="0.25">
      <c r="B35" s="42" t="s">
        <v>18</v>
      </c>
      <c r="D35" s="43">
        <f>D34+D30</f>
      </c>
      <c r="E35" s="43">
        <f>E34+E30</f>
      </c>
      <c r="F35" s="43">
        <f>F34+F30</f>
      </c>
      <c r="G35" s="43">
        <f>G34+G30</f>
      </c>
      <c r="H35" s="43">
        <f>H34+H30</f>
      </c>
      <c r="I35" s="43">
        <f>I34+I30</f>
      </c>
      <c r="J35" s="43">
        <f>J34+J30</f>
      </c>
      <c r="K35" s="43">
        <f>K34+K30</f>
      </c>
      <c r="L35" s="43">
        <f>L34+L30</f>
      </c>
      <c r="M35" s="43">
        <f>M34+M30</f>
      </c>
      <c r="N35" s="43">
        <f>N34+N30</f>
      </c>
      <c r="O35" s="43">
        <f>O34+O30</f>
      </c>
      <c r="P35" s="25">
        <f>SUM(D35:O35)</f>
      </c>
    </row>
    <row r="36" ht="18" customHeight="1" spans="2:16" x14ac:dyDescent="0.25">
      <c r="B36" s="44" t="s">
        <v>98</v>
      </c>
      <c r="C36" s="45" t="s">
        <v>99</v>
      </c>
      <c r="D36" s="46">
        <f>D34*Configuración!$C$12</f>
      </c>
      <c r="E36" s="46">
        <f>E34*Configuración!$C$12</f>
      </c>
      <c r="F36" s="46">
        <f>F34*Configuración!$C$12</f>
      </c>
      <c r="G36" s="46">
        <f>G34*Configuración!$C$12</f>
      </c>
      <c r="H36" s="46">
        <f>H34*Configuración!$C$12</f>
      </c>
      <c r="I36" s="46">
        <f>I34*Configuración!$C$12</f>
      </c>
      <c r="J36" s="46">
        <f>J34*Configuración!$C$12</f>
      </c>
      <c r="K36" s="46">
        <f>K34*Configuración!$C$12</f>
      </c>
      <c r="L36" s="46">
        <f>L34*Configuración!$C$12</f>
      </c>
      <c r="M36" s="46">
        <f>M34*Configuración!$C$12</f>
      </c>
      <c r="N36" s="46">
        <f>N34*Configuración!$C$12</f>
      </c>
      <c r="O36" s="46">
        <f>O34*Configuración!$C$12</f>
      </c>
      <c r="P36" s="25">
        <f>SUM(D36:O36)</f>
      </c>
    </row>
    <row r="37" ht="18" customHeight="1" spans="2:16" x14ac:dyDescent="0.25">
      <c r="B37" s="44" t="s">
        <v>100</v>
      </c>
      <c r="C37" s="45" t="s">
        <v>101</v>
      </c>
      <c r="D37" s="46">
        <f>D35*Configuración!$C$13</f>
      </c>
      <c r="E37" s="46">
        <f>E35*Configuración!$C$13</f>
      </c>
      <c r="F37" s="46">
        <f>F35*Configuración!$C$13</f>
      </c>
      <c r="G37" s="46">
        <f>G35*Configuración!$C$13</f>
      </c>
      <c r="H37" s="46">
        <f>H35*Configuración!$C$13</f>
      </c>
      <c r="I37" s="46">
        <f>I35*Configuración!$C$13</f>
      </c>
      <c r="J37" s="46">
        <f>J35*Configuración!$C$13</f>
      </c>
      <c r="K37" s="46">
        <f>K35*Configuración!$C$13</f>
      </c>
      <c r="L37" s="46">
        <f>L35*Configuración!$C$13</f>
      </c>
      <c r="M37" s="46">
        <f>M35*Configuración!$C$13</f>
      </c>
      <c r="N37" s="46">
        <f>N35*Configuración!$C$13</f>
      </c>
      <c r="O37" s="46">
        <f>O35*Configuración!$C$13</f>
      </c>
      <c r="P37" s="25">
        <f>SUM(D37:O37)</f>
      </c>
    </row>
    <row r="38" ht="18" customHeight="1" spans="2:16" x14ac:dyDescent="0.25">
      <c r="B38" s="44" t="s">
        <v>102</v>
      </c>
      <c r="C38" s="45" t="s">
        <v>99</v>
      </c>
      <c r="D38" s="46">
        <f>D30*Configuración!$C$14</f>
      </c>
      <c r="E38" s="46">
        <f>E30*Configuración!$C$14</f>
      </c>
      <c r="F38" s="46">
        <f>F30*Configuración!$C$14</f>
      </c>
      <c r="G38" s="46">
        <f>G30*Configuración!$C$14</f>
      </c>
      <c r="H38" s="46">
        <f>H30*Configuración!$C$14</f>
      </c>
      <c r="I38" s="46">
        <f>I30*Configuración!$C$14</f>
      </c>
      <c r="J38" s="46">
        <f>J30*Configuración!$C$14</f>
      </c>
      <c r="K38" s="46">
        <f>K30*Configuración!$C$14</f>
      </c>
      <c r="L38" s="46">
        <f>L30*Configuración!$C$14</f>
      </c>
      <c r="M38" s="46">
        <f>M30*Configuración!$C$14</f>
      </c>
      <c r="N38" s="46">
        <f>N30*Configuración!$C$14</f>
      </c>
      <c r="O38" s="46">
        <f>O30*Configuración!$C$14</f>
      </c>
      <c r="P38" s="25">
        <f>SUM(D38:O38)</f>
      </c>
    </row>
    <row r="39" ht="18" customHeight="1" spans="2:16" x14ac:dyDescent="0.25">
      <c r="B39" s="44" t="s">
        <v>103</v>
      </c>
      <c r="C39" s="45" t="s">
        <v>104</v>
      </c>
      <c r="D39" s="46">
        <f>D35*Configuración!$C$15</f>
      </c>
      <c r="E39" s="46">
        <f>E35*Configuración!$C$15</f>
      </c>
      <c r="F39" s="46">
        <f>F35*Configuración!$C$15</f>
      </c>
      <c r="G39" s="46">
        <f>G35*Configuración!$C$15</f>
      </c>
      <c r="H39" s="46">
        <f>H35*Configuración!$C$15</f>
      </c>
      <c r="I39" s="46">
        <f>I35*Configuración!$C$15</f>
      </c>
      <c r="J39" s="46">
        <f>J35*Configuración!$C$15</f>
      </c>
      <c r="K39" s="46">
        <f>K35*Configuración!$C$15</f>
      </c>
      <c r="L39" s="46">
        <f>L35*Configuración!$C$15</f>
      </c>
      <c r="M39" s="46">
        <f>M35*Configuración!$C$15</f>
      </c>
      <c r="N39" s="46">
        <f>N35*Configuración!$C$15</f>
      </c>
      <c r="O39" s="46">
        <f>O35*Configuración!$C$15</f>
      </c>
      <c r="P39" s="25">
        <f>SUM(D39:O39)</f>
      </c>
    </row>
    <row r="40" ht="22" customHeight="1" spans="2:16" x14ac:dyDescent="0.25">
      <c r="B40" s="47" t="s">
        <v>105</v>
      </c>
      <c r="D40" s="48">
        <f>D36+D37+D38+D39</f>
      </c>
      <c r="E40" s="48">
        <f>E36+E37+E38+E39</f>
      </c>
      <c r="F40" s="48">
        <f>F36+F37+F38+F39</f>
      </c>
      <c r="G40" s="48">
        <f>G36+G37+G38+G39</f>
      </c>
      <c r="H40" s="48">
        <f>H36+H37+H38+H39</f>
      </c>
      <c r="I40" s="48">
        <f>I36+I37+I38+I39</f>
      </c>
      <c r="J40" s="48">
        <f>J36+J37+J38+J39</f>
      </c>
      <c r="K40" s="48">
        <f>K36+K37+K38+K39</f>
      </c>
      <c r="L40" s="48">
        <f>L36+L37+L38+L39</f>
      </c>
      <c r="M40" s="48">
        <f>M36+M37+M38+M39</f>
      </c>
      <c r="N40" s="48">
        <f>N36+N37+N38+N39</f>
      </c>
      <c r="O40" s="48">
        <f>O36+O37+O38+O39</f>
      </c>
      <c r="P40" s="48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2" t="s">
        <v>106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</row>
    <row r="43" ht="18" customHeight="1" spans="2:16" x14ac:dyDescent="0.25">
      <c r="B43" s="33" t="s">
        <v>107</v>
      </c>
      <c r="D43" s="49">
        <f>D26*(Configuración!$C$12+Configuración!$C$13+Configuración!$C$15)</f>
      </c>
      <c r="E43" s="49">
        <f>E26*(Configuración!$C$12+Configuración!$C$13+Configuración!$C$15)</f>
      </c>
      <c r="F43" s="49">
        <f>F26*(Configuración!$C$12+Configuración!$C$13+Configuración!$C$15)</f>
      </c>
      <c r="G43" s="49">
        <f>G26*(Configuración!$C$12+Configuración!$C$13+Configuración!$C$15)</f>
      </c>
      <c r="H43" s="49">
        <f>H26*(Configuración!$C$12+Configuración!$C$13+Configuración!$C$15)</f>
      </c>
      <c r="I43" s="49">
        <f>I26*(Configuración!$C$12+Configuración!$C$13+Configuración!$C$15)</f>
      </c>
      <c r="J43" s="49">
        <f>J26*(Configuración!$C$12+Configuración!$C$13+Configuración!$C$15)</f>
      </c>
      <c r="K43" s="49">
        <f>K26*(Configuración!$C$12+Configuración!$C$13+Configuración!$C$15)</f>
      </c>
      <c r="L43" s="49">
        <f>L26*(Configuración!$C$12+Configuración!$C$13+Configuración!$C$15)</f>
      </c>
      <c r="M43" s="49">
        <f>M26*(Configuración!$C$12+Configuración!$C$13+Configuración!$C$15)</f>
      </c>
      <c r="N43" s="49">
        <f>N26*(Configuración!$C$12+Configuración!$C$13+Configuración!$C$15)</f>
      </c>
      <c r="O43" s="49">
        <f>O26*(Configuración!$C$12+Configuración!$C$13+Configuración!$C$15)</f>
      </c>
      <c r="P43" s="25">
        <f>SUM(D43:O43)</f>
      </c>
    </row>
    <row r="44" ht="18" customHeight="1" spans="2:16" x14ac:dyDescent="0.25">
      <c r="B44" s="33" t="s">
        <v>108</v>
      </c>
      <c r="D44" s="49">
        <f>D26*D4</f>
      </c>
      <c r="E44" s="49">
        <f>E26*E4</f>
      </c>
      <c r="F44" s="49">
        <f>F26*F4</f>
      </c>
      <c r="G44" s="49">
        <f>G26*G4</f>
      </c>
      <c r="H44" s="49">
        <f>H26*H4</f>
      </c>
      <c r="I44" s="49">
        <f>I26*I4</f>
      </c>
      <c r="J44" s="49">
        <f>J26*J4</f>
      </c>
      <c r="K44" s="49">
        <f>K26*K4</f>
      </c>
      <c r="L44" s="49">
        <f>L26*L4</f>
      </c>
      <c r="M44" s="49">
        <f>M26*M4</f>
      </c>
      <c r="N44" s="49">
        <f>N26*N4</f>
      </c>
      <c r="O44" s="49">
        <f>O26*O4</f>
      </c>
      <c r="P44" s="25">
        <f>SUM(D44:O44)</f>
      </c>
    </row>
    <row r="45" ht="20" customHeight="1" spans="2:16" x14ac:dyDescent="0.25">
      <c r="B45" s="50" t="s">
        <v>109</v>
      </c>
      <c r="D45" s="51">
        <f>D26-D43-D44</f>
      </c>
      <c r="E45" s="51">
        <f>E26-E43-E44</f>
      </c>
      <c r="F45" s="51">
        <f>F26-F43-F44</f>
      </c>
      <c r="G45" s="51">
        <f>G26-G43-G44</f>
      </c>
      <c r="H45" s="51">
        <f>H26-H43-H44</f>
      </c>
      <c r="I45" s="51">
        <f>I26-I43-I44</f>
      </c>
      <c r="J45" s="51">
        <f>J26-J43-J44</f>
      </c>
      <c r="K45" s="51">
        <f>K26-K43-K44</f>
      </c>
      <c r="L45" s="51">
        <f>L26-L43-L44</f>
      </c>
      <c r="M45" s="51">
        <f>M26-M43-M44</f>
      </c>
      <c r="N45" s="51">
        <f>N26-N43-N44</f>
      </c>
      <c r="O45" s="51">
        <f>O26-O43-O44</f>
      </c>
      <c r="P45" s="51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4" t="s">
        <v>110</v>
      </c>
      <c r="D47" s="46">
        <f>D29*D4</f>
      </c>
      <c r="E47" s="46">
        <f>E29*E4</f>
      </c>
      <c r="F47" s="46">
        <f>F29*F4</f>
      </c>
      <c r="G47" s="46">
        <f>G29*G4</f>
      </c>
      <c r="H47" s="46">
        <f>H29*H4</f>
      </c>
      <c r="I47" s="46">
        <f>I29*I4</f>
      </c>
      <c r="J47" s="46">
        <f>J29*J4</f>
      </c>
      <c r="K47" s="46">
        <f>K29*K4</f>
      </c>
      <c r="L47" s="46">
        <f>L29*L4</f>
      </c>
      <c r="M47" s="46">
        <f>M29*M4</f>
      </c>
      <c r="N47" s="46">
        <f>N29*N4</f>
      </c>
      <c r="O47" s="46">
        <f>O29*O4</f>
      </c>
      <c r="P47" s="25">
        <f>SUM(D47:O47)</f>
      </c>
    </row>
    <row r="48" ht="26" customHeight="1" spans="2:16" x14ac:dyDescent="0.25">
      <c r="B48" s="52" t="s">
        <v>111</v>
      </c>
      <c r="C48" s="53" t="s">
        <v>112</v>
      </c>
      <c r="D48" s="54">
        <f>D29+D31-D40-D47</f>
      </c>
      <c r="E48" s="54">
        <f>E29+E31-E40-E47</f>
      </c>
      <c r="F48" s="54">
        <f>F29+F31-F40-F47</f>
      </c>
      <c r="G48" s="54">
        <f>G29+G31-G40-G47</f>
      </c>
      <c r="H48" s="54">
        <f>H29+H31-H40-H47</f>
      </c>
      <c r="I48" s="54">
        <f>I29+I31-I40-I47</f>
      </c>
      <c r="J48" s="54">
        <f>J29+J31-J40-J47</f>
      </c>
      <c r="K48" s="54">
        <f>K29+K31-K40-K47</f>
      </c>
      <c r="L48" s="54">
        <f>L29+L31-L40-L47</f>
      </c>
      <c r="M48" s="54">
        <f>M29+M31-M40-M47</f>
      </c>
      <c r="N48" s="54">
        <f>N29+N31-N40-N47</f>
      </c>
      <c r="O48" s="54">
        <f>O29+O31-O40-O47</f>
      </c>
      <c r="P48" s="54">
        <f>SUM(D48:O48)</f>
      </c>
    </row>
    <row r="49" ht="28" customHeight="1" spans="2:16" x14ac:dyDescent="0.25">
      <c r="B49" s="52" t="s">
        <v>113</v>
      </c>
      <c r="C49" s="53" t="s">
        <v>114</v>
      </c>
      <c r="D49" s="54">
        <f>D48+D45</f>
      </c>
      <c r="E49" s="54">
        <f>E48+E45</f>
      </c>
      <c r="F49" s="54">
        <f>F48+F45</f>
      </c>
      <c r="G49" s="54">
        <f>G48+G45</f>
      </c>
      <c r="H49" s="54">
        <f>H48+H45</f>
      </c>
      <c r="I49" s="54">
        <f>I48+I45</f>
      </c>
      <c r="J49" s="54">
        <f>J48+J45</f>
      </c>
      <c r="K49" s="54">
        <f>K48+K45</f>
      </c>
      <c r="L49" s="54">
        <f>L48+L45</f>
      </c>
      <c r="M49" s="54">
        <f>M48+M45</f>
      </c>
      <c r="N49" s="54">
        <f>N48+N45</f>
      </c>
      <c r="O49" s="54">
        <f>O48+O45</f>
      </c>
      <c r="P49" s="54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5" t="s">
        <v>115</v>
      </c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</row>
    <row r="52" ht="18" customHeight="1" spans="2:16" x14ac:dyDescent="0.25">
      <c r="B52" s="56" t="s">
        <v>116</v>
      </c>
      <c r="C52" s="57" t="s">
        <v>117</v>
      </c>
      <c r="D52" s="58">
        <f>D16</f>
      </c>
      <c r="E52" s="58">
        <f>E16</f>
      </c>
      <c r="F52" s="58">
        <f>F16</f>
      </c>
      <c r="G52" s="58">
        <f>G16</f>
      </c>
      <c r="H52" s="58">
        <f>H16</f>
      </c>
      <c r="I52" s="58">
        <f>I16</f>
      </c>
      <c r="J52" s="58">
        <f>J16</f>
      </c>
      <c r="K52" s="58">
        <f>K16</f>
      </c>
      <c r="L52" s="58">
        <f>L16</f>
      </c>
      <c r="M52" s="58">
        <f>M16</f>
      </c>
      <c r="N52" s="58">
        <f>N16</f>
      </c>
      <c r="O52" s="58">
        <f>O16</f>
      </c>
      <c r="P52" s="25">
        <f>SUM(D52:O52)</f>
      </c>
    </row>
    <row r="53" ht="18" customHeight="1" spans="2:16" x14ac:dyDescent="0.25">
      <c r="B53" s="56" t="s">
        <v>118</v>
      </c>
      <c r="C53" s="57" t="s">
        <v>119</v>
      </c>
      <c r="D53" s="59">
        <f>(Configuración!$C$5/31)*D52</f>
      </c>
      <c r="E53" s="59">
        <f>(Configuración!$C$5/28)*E52</f>
      </c>
      <c r="F53" s="59">
        <f>(Configuración!$C$5/31)*F52</f>
      </c>
      <c r="G53" s="59">
        <f>(Configuración!$C$5/30)*G52</f>
      </c>
      <c r="H53" s="59">
        <f>(Configuración!$C$5/31)*H52</f>
      </c>
      <c r="I53" s="59">
        <f>(Configuración!$C$5/30)*I52</f>
      </c>
      <c r="J53" s="59">
        <f>(Configuración!$C$5/31)*J52</f>
      </c>
      <c r="K53" s="59">
        <f>(Configuración!$C$5/31)*K52</f>
      </c>
      <c r="L53" s="59">
        <f>(Configuración!$C$5/30)*L52</f>
      </c>
      <c r="M53" s="59">
        <f>(Configuración!$C$5/31)*M52</f>
      </c>
      <c r="N53" s="59">
        <f>(Configuración!$C$5/30)*N52</f>
      </c>
      <c r="O53" s="59">
        <f>(Configuración!$C$5/31)*O52</f>
      </c>
      <c r="P53" s="25">
        <f>SUM(D53:O53)</f>
      </c>
    </row>
    <row r="54" ht="20" customHeight="1" spans="2:16" x14ac:dyDescent="0.25">
      <c r="B54" s="60" t="s">
        <v>120</v>
      </c>
      <c r="C54" s="57" t="s">
        <v>121</v>
      </c>
      <c r="D54" s="61">
        <f>D53+D14*Configuración!$C$27+D15*Configuración!$C$28+D16*Configuración!$C$31</f>
      </c>
      <c r="E54" s="61">
        <f>E53+E14*Configuración!$C$27+E15*Configuración!$C$28+E16*Configuración!$C$31</f>
      </c>
      <c r="F54" s="61">
        <f>F53+F14*Configuración!$C$27+F15*Configuración!$C$28+F16*Configuración!$C$31</f>
      </c>
      <c r="G54" s="61">
        <f>G53+G14*Configuración!$C$27+G15*Configuración!$C$28+G16*Configuración!$C$31</f>
      </c>
      <c r="H54" s="61">
        <f>H53+H14*Configuración!$C$27+H15*Configuración!$C$28+H16*Configuración!$C$31</f>
      </c>
      <c r="I54" s="61">
        <f>I53+I14*Configuración!$C$27+I15*Configuración!$C$28+I16*Configuración!$C$31</f>
      </c>
      <c r="J54" s="61">
        <f>J53+J14*Configuración!$C$27+J15*Configuración!$C$28+J16*Configuración!$C$31</f>
      </c>
      <c r="K54" s="61">
        <f>K53+K14*Configuración!$C$27+K15*Configuración!$C$28+K16*Configuración!$C$31</f>
      </c>
      <c r="L54" s="61">
        <f>L53+L14*Configuración!$C$27+L15*Configuración!$C$28+L16*Configuración!$C$31</f>
      </c>
      <c r="M54" s="61">
        <f>M53+M14*Configuración!$C$27+M15*Configuración!$C$28+M16*Configuración!$C$31</f>
      </c>
      <c r="N54" s="61">
        <f>N53+N14*Configuración!$C$27+N15*Configuración!$C$28+N16*Configuración!$C$31</f>
      </c>
      <c r="O54" s="61">
        <f>O53+O14*Configuración!$C$27+O15*Configuración!$C$28+O16*Configuración!$C$31</f>
      </c>
      <c r="P54" s="61">
        <f>SUM(D54:O54)</f>
      </c>
    </row>
    <row r="55" ht="22" customHeight="1" spans="2:16" x14ac:dyDescent="0.25">
      <c r="B55" s="62" t="s">
        <v>122</v>
      </c>
      <c r="C55" s="63" t="s">
        <v>123</v>
      </c>
      <c r="D55" s="64">
        <f>D54*D4</f>
      </c>
      <c r="E55" s="64">
        <f>E54*E4</f>
      </c>
      <c r="F55" s="64">
        <f>F54*F4</f>
      </c>
      <c r="G55" s="64">
        <f>G54*G4</f>
      </c>
      <c r="H55" s="64">
        <f>H54*H4</f>
      </c>
      <c r="I55" s="64">
        <f>I54*I4</f>
      </c>
      <c r="J55" s="64">
        <f>J54*J4</f>
      </c>
      <c r="K55" s="64">
        <f>K54*K4</f>
      </c>
      <c r="L55" s="64">
        <f>L54*L4</f>
      </c>
      <c r="M55" s="64">
        <f>M54*M4</f>
      </c>
      <c r="N55" s="64">
        <f>N54*N4</f>
      </c>
      <c r="O55" s="64">
        <f>O54*O4</f>
      </c>
      <c r="P55" s="64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5" t="s">
        <v>124</v>
      </c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</row>
    <row r="58" ht="22" customHeight="1" spans="1:16" x14ac:dyDescent="0.25">
      <c r="A58" s="65" t="s">
        <v>125</v>
      </c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6">
        <f>SUM(D54:O54)</f>
      </c>
      <c r="O58" s="66"/>
      <c r="P58" s="66"/>
    </row>
    <row r="59" ht="22" customHeight="1" spans="1:16" x14ac:dyDescent="0.25">
      <c r="A59" s="65" t="s">
        <v>126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6">
        <v>60100</v>
      </c>
      <c r="O59" s="66"/>
      <c r="P59" s="66"/>
    </row>
    <row r="60" ht="22" customHeight="1" spans="1:16" x14ac:dyDescent="0.25">
      <c r="A60" s="65" t="s">
        <v>127</v>
      </c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6">
        <f>60100-SUM(D54:O54)</f>
      </c>
      <c r="O60" s="66"/>
      <c r="P60" s="66"/>
    </row>
    <row r="61" ht="30" customHeight="1" spans="1:16" x14ac:dyDescent="0.25">
      <c r="A61" s="67" t="s">
        <v>128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8">
        <f>SUM(D55:O55)</f>
      </c>
      <c r="O61" s="68"/>
      <c r="P61" s="68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129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10" customHeight="1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ht="24" customHeight="1" spans="1:16" x14ac:dyDescent="0.25">
      <c r="A65" s="69" t="s">
        <v>130</v>
      </c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</row>
    <row r="66" ht="30" customHeight="1" spans="1:16" x14ac:dyDescent="0.25">
      <c r="A66" s="70" t="s">
        <v>131</v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1">
        <f>SUM(D29:O29)+SUM(D31:O31)+SUM(D26:O26)</f>
      </c>
    </row>
    <row r="67" ht="22" customHeight="1" spans="1:16" x14ac:dyDescent="0.25">
      <c r="A67" s="72" t="s">
        <v>132</v>
      </c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3">
        <f>Configuración!$C$5*12</f>
      </c>
    </row>
    <row r="68" ht="22" customHeight="1" spans="1:16" x14ac:dyDescent="0.25">
      <c r="A68" s="74" t="s">
        <v>133</v>
      </c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5">
        <f>(SUM(D29:O29)+SUM(D31:O31)+SUM(D26:O26))-(Configuración!$C$5*12)</f>
      </c>
    </row>
    <row r="69" ht="3" customHeight="1" spans="1:1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ht="30" customHeight="1" spans="1:16" x14ac:dyDescent="0.25">
      <c r="A70" s="76" t="s">
        <v>134</v>
      </c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7">
        <f>SUM(D49:O49)</f>
      </c>
    </row>
    <row r="71" ht="22" customHeight="1" spans="1:16" x14ac:dyDescent="0.25">
      <c r="A71" s="72" t="s">
        <v>135</v>
      </c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3">
        <f>Configuración!$C$5*12-(Configuración!$C$5*12+Configuración!$C$7*12)*(Configuración!$C$12+Configuración!$C$13+Configuración!$C$15)-Configuración!$C$5*12*Configuración!$C$18</f>
      </c>
    </row>
    <row r="72" ht="22" customHeight="1" spans="1:16" x14ac:dyDescent="0.25">
      <c r="A72" s="74" t="s">
        <v>133</v>
      </c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5">
        <f>(SUM(D49:O49))-(Configuración!$C$5*12-(Configuración!$C$5*12+Configuración!$C$7*12)*(Configuración!$C$12+Configuración!$C$13+Configuración!$C$15)-Configuración!$C$5*12*Configuración!$C$18)</f>
      </c>
    </row>
    <row r="73" ht="8" customHeight="1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</sheetData>
  <mergeCells count="3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  <mergeCell ref="A64:P64"/>
    <mergeCell ref="A65:P65"/>
    <mergeCell ref="A66:O66"/>
    <mergeCell ref="A67:O67"/>
    <mergeCell ref="A68:O68"/>
    <mergeCell ref="A69:P69"/>
    <mergeCell ref="A70:O70"/>
    <mergeCell ref="A71:O71"/>
    <mergeCell ref="A72:O72"/>
    <mergeCell ref="A73:P7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2026-05-21T06:59:46Z</dcterms:created>
  <dcterms:modified xsi:type="dcterms:W3CDTF">2026-05-21T06:59:46Z</dcterms:modified>
</cp:coreProperties>
</file>